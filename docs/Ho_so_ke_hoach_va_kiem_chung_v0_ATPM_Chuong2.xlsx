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8cfb108f13c4283" /></Relationships>
</file>

<file path=xl/workbook.xml><?xml version="1.0" encoding="utf-8"?>
<x:workbook xmlns:x="http://schemas.openxmlformats.org/spreadsheetml/2006/main">
  <x:sheets>
    <x:sheet xmlns:r="http://schemas.openxmlformats.org/officeDocument/2006/relationships" name="Ke hoach V0" sheetId="1" r:id="R4adea23036bf4171"/>
    <x:sheet xmlns:r="http://schemas.openxmlformats.org/officeDocument/2006/relationships" name="Trace 18 REQ" sheetId="2" r:id="Ra288dcdaa72a4d31"/>
    <x:sheet xmlns:r="http://schemas.openxmlformats.org/officeDocument/2006/relationships" name="TestCase evidence" sheetId="3" r:id="R6f51e1e7cbd440bb"/>
    <x:sheet xmlns:r="http://schemas.openxmlformats.org/officeDocument/2006/relationships" name="Risk attack surface" sheetId="4" r:id="R1010d65832b44519"/>
    <x:sheet xmlns:r="http://schemas.openxmlformats.org/officeDocument/2006/relationships" name="Nghiem thu v0" sheetId="5" r:id="Rdac619b423114cac"/>
    <x:sheet xmlns:r="http://schemas.openxmlformats.org/officeDocument/2006/relationships" name="Evidence manifest" sheetId="6" r:id="Ra1364a3e43da4d15"/>
    <x:sheet xmlns:r="http://schemas.openxmlformats.org/officeDocument/2006/relationships" name="Ra soat workbook goc" sheetId="7" r:id="R5396f2f268df4910"/>
    <x:sheet xmlns:r="http://schemas.openxmlformats.org/officeDocument/2006/relationships" name="Tong quan" sheetId="8" r:id="Rf103b64abd0a4fe7"/>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3">
    <x:font>
      <x:sz val="11"/>
      <x:name val="Carlito"/>
    </x:font>
    <x:font>
      <x:b/>
      <x:sz val="11"/>
      <x:color rgb="FFFFFFFF"/>
      <x:name val="Carlito"/>
    </x:font>
    <x:font>
      <x:b/>
      <x:sz val="11"/>
      <x:name val="Carlito"/>
    </x:font>
  </x:fonts>
  <x:fills count="5">
    <x:fill>
      <x:patternFill patternType="none"/>
    </x:fill>
    <x:fill>
      <x:patternFill patternType="gray125"/>
    </x:fill>
    <x:fill>
      <x:patternFill patternType="solid">
        <x:fgColor rgb="FF17375E"/>
      </x:patternFill>
    </x:fill>
    <x:fill>
      <x:patternFill patternType="solid">
        <x:fgColor rgb="FFF1F6FC"/>
      </x:patternFill>
    </x:fill>
    <x:fill>
      <x:patternFill patternType="solid">
        <x:fgColor rgb="FFE8F1FC"/>
      </x:patternFill>
    </x:fill>
  </x:fills>
  <x:borders count="2">
    <x:border/>
    <x:border/>
  </x:borders>
  <x:cellStyleXfs count="1">
    <x:xf numFmtId="0" fontId="0" fillId="0" borderId="0"/>
  </x:cellStyleXfs>
  <x:cellXfs count="2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3" borderId="0" xfId="0" applyNumberFormat="1" applyFont="1" applyFill="1" applyBorder="1" applyAlignment="1">
      <x:alignment wrapText="1"/>
    </x:xf>
    <x:xf numFmtId="0" fontId="0" fillId="3" borderId="1" xfId="0" applyNumberFormat="1" applyFont="1" applyFill="1" applyBorder="1" applyAlignment="1">
      <x:alignment wrapText="1"/>
    </x:xf>
    <x:xf numFmtId="0" fontId="0" fillId="4" borderId="0" xfId="0" applyNumberFormat="1" applyFont="1" applyFill="1" applyBorder="1"/>
    <x:xf numFmtId="0" fontId="2" fillId="4" borderId="0" xfId="0" applyNumberFormat="1" applyFont="1" applyFill="1" applyBorder="1"/>
    <x:xf numFmtId="0" fontId="0" fillId="4" borderId="1" xfId="0" applyNumberFormat="1" applyFont="1" applyFill="1" applyBorder="1"/>
    <x:xf numFmtId="0" fontId="2" fillId="4" borderId="1" xfId="0" applyNumberFormat="1" applyFont="1" applyFill="1" applyBorder="1"/>
    <x:xf numFmtId="200" fontId="0" fillId="0" borderId="0" xfId="0" applyNumberFormat="1" applyFont="1" applyFill="1" applyBorder="1"/>
    <x:xf numFmtId="200" fontId="0" fillId="0" borderId="1" xfId="0" applyNumberFormat="1" applyFont="1" applyFill="1" applyBorder="1"/>
  </x:cellXfs>
  <x:cellStyles count="1">
    <x:cellStyle name="Normal" xfId="0"/>
  </x:cellStyles>
  <x:dxfs count="4">
    <x:dxf>
      <x:font>
        <x:color rgb="FF166534"/>
      </x:font>
      <x:fill>
        <x:patternFill patternType="solid">
          <x:bgColor rgb="FFDCFCE7"/>
        </x:patternFill>
      </x:fill>
    </x:dxf>
    <x:dxf>
      <x:font>
        <x:color rgb="FF991B1B"/>
      </x:font>
      <x:fill>
        <x:patternFill patternType="solid">
          <x:bgColor rgb="FFFEE2E2"/>
        </x:patternFill>
      </x:fill>
    </x:dxf>
    <x:dxf>
      <x:fill>
        <x:patternFill patternType="solid">
          <x:bgColor rgb="FFBBF7D0"/>
        </x:patternFill>
      </x:fill>
    </x:dxf>
    <x:dxf>
      <x:fill>
        <x:patternFill patternType="solid">
          <x:bgColor rgb="FFFECACA"/>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84b931b79d647f2" /><Relationship Type="http://schemas.openxmlformats.org/officeDocument/2006/relationships/theme" Target="/xl/theme/theme1.xml" Id="R8961ae5384a541db" /><Relationship Type="http://schemas.openxmlformats.org/officeDocument/2006/relationships/sharedStrings" Target="/xl/sharedStrings.xml" Id="R92e6c728d80d484a" /><Relationship Type="http://schemas.openxmlformats.org/officeDocument/2006/relationships/worksheet" Target="/xl/worksheets/sheet1.xml" Id="R4adea23036bf4171" /><Relationship Type="http://schemas.openxmlformats.org/officeDocument/2006/relationships/worksheet" Target="/xl/worksheets/sheet2.xml" Id="Ra288dcdaa72a4d31" /><Relationship Type="http://schemas.openxmlformats.org/officeDocument/2006/relationships/worksheet" Target="/xl/worksheets/sheet3.xml" Id="R6f51e1e7cbd440bb" /><Relationship Type="http://schemas.openxmlformats.org/officeDocument/2006/relationships/worksheet" Target="/xl/worksheets/sheet4.xml" Id="R1010d65832b44519" /><Relationship Type="http://schemas.openxmlformats.org/officeDocument/2006/relationships/worksheet" Target="/xl/worksheets/sheet5.xml" Id="Rdac619b423114cac" /><Relationship Type="http://schemas.openxmlformats.org/officeDocument/2006/relationships/worksheet" Target="/xl/worksheets/sheet6.xml" Id="Ra1364a3e43da4d15" /><Relationship Type="http://schemas.openxmlformats.org/officeDocument/2006/relationships/worksheet" Target="/xl/worksheets/sheet7.xml" Id="R5396f2f268df4910" /><Relationship Type="http://schemas.openxmlformats.org/officeDocument/2006/relationships/worksheet" Target="/xl/worksheets/sheet8.xml" Id="Rf103b64abd0a4fe7" /></Relationships>
</file>

<file path=xl/tables/table1.xml><?xml version="1.0" encoding="utf-8"?>
<x:table xmlns:x="http://schemas.openxmlformats.org/spreadsheetml/2006/main" id="1" name="T_Ke_hoach_V0" displayName="T_Ke_hoach_V0" ref="A1:L28" headerRowCount="1" totalsRowCount="0" totalsRowShown="0">
  <x:tableColumns count="12">
    <x:tableColumn id="1" name="ID"/>
    <x:tableColumn id="2" name="Giai đoạn"/>
    <x:tableColumn id="3" name="Phụ trách"/>
    <x:tableColumn id="4" name="Giờ dự kiến"/>
    <x:tableColumn id="5" name="Nhánh"/>
    <x:tableColumn id="6" name="File / module"/>
    <x:tableColumn id="7" name="Hướng dẫn công việc"/>
    <x:tableColumn id="8" name="Tiêu chí nghiệm thu"/>
    <x:tableColumn id="9" name="Ưu tiên"/>
    <x:tableColumn id="10" name="Trạng thái"/>
    <x:tableColumn id="11" name="Evidence thực tế"/>
    <x:tableColumn id="12" name="Commit SHA"/>
  </x:tableColumns>
  <x:tableStyleInfo name="TableStyleMedium2" showFirstColumn="0" showLastColumn="0" showRowStripes="1" showColumnStripes="0"/>
</x:table>
</file>

<file path=xl/tables/table2.xml><?xml version="1.0" encoding="utf-8"?>
<x:table xmlns:x="http://schemas.openxmlformats.org/spreadsheetml/2006/main" id="2" name="T_Trace_18_REQ" displayName="T_Trace_18_REQ" ref="A1:K19" headerRowCount="1" totalsRowCount="0" totalsRowShown="0">
  <x:tableColumns count="11">
    <x:tableColumn id="1" name="REQ"/>
    <x:tableColumn id="2" name="Nội dung nguyên văn từ đặc tả"/>
    <x:tableColumn id="3" name="Loại"/>
    <x:tableColumn id="4" name="Ưu tiên"/>
    <x:tableColumn id="5" name="Đối tượng kiểm tra đề xuất"/>
    <x:tableColumn id="6" name="Phương pháp đề xuất"/>
    <x:tableColumn id="7" name="Kết luận thực tế"/>
    <x:tableColumn id="8" name="TC liên quan"/>
    <x:tableColumn id="9" name="Evidence path"/>
    <x:tableColumn id="10" name="Commit SHA"/>
    <x:tableColumn id="11" name="Giới hạn / ghi chú"/>
  </x:tableColumns>
  <x:tableStyleInfo name="TableStyleMedium2" showFirstColumn="0" showLastColumn="0" showRowStripes="1" showColumnStripes="0"/>
</x:table>
</file>

<file path=xl/tables/table3.xml><?xml version="1.0" encoding="utf-8"?>
<x:table xmlns:x="http://schemas.openxmlformats.org/spreadsheetml/2006/main" id="3" name="T_TestCase_evidence" displayName="T_TestCase_evidence" ref="A1:M23" headerRowCount="1" totalsRowCount="0" totalsRowShown="0">
  <x:tableColumns count="13">
    <x:tableColumn id="1" name="TC ID"/>
    <x:tableColumn id="2" name="REQ liên quan"/>
    <x:tableColumn id="3" name="Tên testcase"/>
    <x:tableColumn id="4" name="Tiền điều kiện"/>
    <x:tableColumn id="5" name="Các bước"/>
    <x:tableColumn id="6" name="Kỳ vọng"/>
    <x:tableColumn id="7" name="Ưu tiên"/>
    <x:tableColumn id="8" name="Trạng thái thực tế"/>
    <x:tableColumn id="9" name="Đầu ra thực tế"/>
    <x:tableColumn id="10" name="Tool / config"/>
    <x:tableColumn id="11" name="Evidence path"/>
    <x:tableColumn id="12" name="Commit SHA"/>
    <x:tableColumn id="13" name="Phân loại kết quả"/>
  </x:tableColumns>
  <x:tableStyleInfo name="TableStyleMedium2" showFirstColumn="0" showLastColumn="0" showRowStripes="1" showColumnStripes="0"/>
</x:table>
</file>

<file path=xl/tables/table4.xml><?xml version="1.0" encoding="utf-8"?>
<x:table xmlns:x="http://schemas.openxmlformats.org/spreadsheetml/2006/main" id="4" name="T_Risk_attack_surface" displayName="T_Risk_attack_surface" ref="A1:I7" headerRowCount="1" totalsRowCount="0" totalsRowShown="0">
  <x:tableColumns count="9">
    <x:tableColumn id="1" name="Mã"/>
    <x:tableColumn id="2" name="Tài sản / Điểm vào"/>
    <x:tableColumn id="3" name="Đường code"/>
    <x:tableColumn id="4" name="Đầu vào rủi ro"/>
    <x:tableColumn id="5" name="CWE nghi vấn"/>
    <x:tableColumn id="6" name="Tác động dự kiến"/>
    <x:tableColumn id="7" name="Likelihood thực tế"/>
    <x:tableColumn id="8" name="Ưu tiên xác minh"/>
    <x:tableColumn id="9" name="Trạng thái"/>
  </x:tableColumns>
  <x:tableStyleInfo name="TableStyleMedium2" showFirstColumn="0" showLastColumn="0" showRowStripes="1" showColumnStripes="0"/>
</x:table>
</file>

<file path=xl/tables/table5.xml><?xml version="1.0" encoding="utf-8"?>
<x:table xmlns:x="http://schemas.openxmlformats.org/spreadsheetml/2006/main" id="5" name="T_Nghiem_thu_v0" displayName="T_Nghiem_thu_v0" ref="A1:H13" headerRowCount="1" totalsRowCount="0" totalsRowShown="0">
  <x:tableColumns count="8">
    <x:tableColumn id="1" name="AC ID"/>
    <x:tableColumn id="2" name="Tiêu chí hoàn thành v0"/>
    <x:tableColumn id="3" name="Người xác nhận"/>
    <x:tableColumn id="4" name="Bằng chứng bắt buộc"/>
    <x:tableColumn id="5" name="Mức"/>
    <x:tableColumn id="6" name="Trạng thái"/>
    <x:tableColumn id="7" name="Link thực tế"/>
    <x:tableColumn id="8" name="Ghi chú"/>
  </x:tableColumns>
  <x:tableStyleInfo name="TableStyleMedium2" showFirstColumn="0" showLastColumn="0" showRowStripes="1" showColumnStripes="0"/>
</x:table>
</file>

<file path=xl/tables/table6.xml><?xml version="1.0" encoding="utf-8"?>
<x:table xmlns:x="http://schemas.openxmlformats.org/spreadsheetml/2006/main" id="6" name="T_Evidence_manifest" displayName="T_Evidence_manifest" ref="A1:M6" headerRowCount="1" totalsRowCount="0" totalsRowShown="0">
  <x:tableColumns count="13">
    <x:tableColumn id="1" name="RUN ID"/>
    <x:tableColumn id="2" name="Giai đoạn"/>
    <x:tableColumn id="3" name="Commit SHA"/>
    <x:tableColumn id="4" name="Công cụ và phiên bản"/>
    <x:tableColumn id="5" name="Lệnh chạy"/>
    <x:tableColumn id="6" name="Input / TC"/>
    <x:tableColumn id="7" name="Expected"/>
    <x:tableColumn id="8" name="Actual"/>
    <x:tableColumn id="9" name="Exit code"/>
    <x:tableColumn id="10" name="Log path"/>
    <x:tableColumn id="11" name="Kết luận"/>
    <x:tableColumn id="12" name="Nguồn code"/>
    <x:tableColumn id="13" name="Người chạy"/>
  </x:tableColumns>
  <x:tableStyleInfo name="TableStyleMedium2" showFirstColumn="0" showLastColumn="0" showRowStripes="1" showColumnStripes="0"/>
</x:table>
</file>

<file path=xl/tables/table7.xml><?xml version="1.0" encoding="utf-8"?>
<x:table xmlns:x="http://schemas.openxmlformats.org/spreadsheetml/2006/main" id="7" name="T_Ra_soat_workbook_go" displayName="T_Ra_soat_workbook_go" ref="A1:D11" headerRowCount="1" totalsRowCount="0" totalsRowShown="0">
  <x:tableColumns count="4">
    <x:tableColumn id="1" name="Nguồn / Sheet"/>
    <x:tableColumn id="2" name="Đã có"/>
    <x:tableColumn id="3" name="Điều chỉnh chuẩn kiểm chứng"/>
    <x:tableColumn id="4" name="Quyết định"/>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5e8e575aea274790" /></Relationships>
</file>

<file path=xl/worksheets/_rels/sheet2.xml.rels>&#65279;<?xml version="1.0" encoding="utf-8"?><Relationships xmlns="http://schemas.openxmlformats.org/package/2006/relationships"><Relationship Type="http://schemas.openxmlformats.org/officeDocument/2006/relationships/table" Target="/xl/tables/table2.xml" Id="R7a7db3113197464e" /></Relationships>
</file>

<file path=xl/worksheets/_rels/sheet3.xml.rels>&#65279;<?xml version="1.0" encoding="utf-8"?><Relationships xmlns="http://schemas.openxmlformats.org/package/2006/relationships"><Relationship Type="http://schemas.openxmlformats.org/officeDocument/2006/relationships/table" Target="/xl/tables/table3.xml" Id="R99ce7acd2556404b" /></Relationships>
</file>

<file path=xl/worksheets/_rels/sheet4.xml.rels>&#65279;<?xml version="1.0" encoding="utf-8"?><Relationships xmlns="http://schemas.openxmlformats.org/package/2006/relationships"><Relationship Type="http://schemas.openxmlformats.org/officeDocument/2006/relationships/table" Target="/xl/tables/table4.xml" Id="R8b28a2261aa047d3" /></Relationships>
</file>

<file path=xl/worksheets/_rels/sheet5.xml.rels>&#65279;<?xml version="1.0" encoding="utf-8"?><Relationships xmlns="http://schemas.openxmlformats.org/package/2006/relationships"><Relationship Type="http://schemas.openxmlformats.org/officeDocument/2006/relationships/table" Target="/xl/tables/table5.xml" Id="R8619e34ac7244f9c" /></Relationships>
</file>

<file path=xl/worksheets/_rels/sheet6.xml.rels>&#65279;<?xml version="1.0" encoding="utf-8"?><Relationships xmlns="http://schemas.openxmlformats.org/package/2006/relationships"><Relationship Type="http://schemas.openxmlformats.org/officeDocument/2006/relationships/table" Target="/xl/tables/table6.xml" Id="R33b5484576774fab" /></Relationships>
</file>

<file path=xl/worksheets/_rels/sheet7.xml.rels>&#65279;<?xml version="1.0" encoding="utf-8"?><Relationships xmlns="http://schemas.openxmlformats.org/package/2006/relationships"><Relationship Type="http://schemas.openxmlformats.org/officeDocument/2006/relationships/table" Target="/xl/tables/table7.xml" Id="Rde1e238eaf9e4481" /></Relationships>
</file>

<file path=xl/worksheets/sheet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3" hidden="0" customWidth="1"/>
    <x:col min="2" max="2" width="19" hidden="0" customWidth="1"/>
    <x:col min="3" max="3" width="23" hidden="0" customWidth="1"/>
    <x:col min="4" max="4" width="18" hidden="0" customWidth="1"/>
    <x:col min="5" max="5" width="24" hidden="0" customWidth="1"/>
    <x:col min="6" max="6" width="30" hidden="0" customWidth="1"/>
    <x:col min="7" max="7" width="75" hidden="0" customWidth="1"/>
    <x:col min="8" max="8" width="52" hidden="0" customWidth="1"/>
    <x:col min="9" max="9" width="12" hidden="0" customWidth="1"/>
    <x:col min="10" max="10" width="19" hidden="0" customWidth="1"/>
    <x:col min="11" max="11" width="33" hidden="0" customWidth="1"/>
    <x:col min="12" max="12" width="22" hidden="0" customWidth="1"/>
  </x:cols>
  <x:sheetData>
    <x:row r="1" ht="36" customHeight="1">
      <x:c r="A1" s="5" t="str">
        <x:v>ID</x:v>
      </x:c>
      <x:c r="B1" s="5" t="str">
        <x:v>Giai đoạn</x:v>
      </x:c>
      <x:c r="C1" s="5" t="str">
        <x:v>Phụ trách</x:v>
      </x:c>
      <x:c r="D1" s="5" t="str">
        <x:v>Giờ dự kiến</x:v>
      </x:c>
      <x:c r="E1" s="5" t="str">
        <x:v>Nhánh</x:v>
      </x:c>
      <x:c r="F1" s="5" t="str">
        <x:v>File / module</x:v>
      </x:c>
      <x:c r="G1" s="5" t="str">
        <x:v>Hướng dẫn công việc</x:v>
      </x:c>
      <x:c r="H1" s="5" t="str">
        <x:v>Tiêu chí nghiệm thu</x:v>
      </x:c>
      <x:c r="I1" s="5" t="str">
        <x:v>Ưu tiên</x:v>
      </x:c>
      <x:c r="J1" s="5" t="str">
        <x:v>Trạng thái</x:v>
      </x:c>
      <x:c r="K1" s="5" t="str">
        <x:v>Evidence thực tế</x:v>
      </x:c>
      <x:c r="L1" s="5" t="str">
        <x:v>Commit SHA</x:v>
      </x:c>
    </x:row>
    <x:row r="2" ht="58" customHeight="1">
      <x:c r="A2" s="12" t="str">
        <x:v>V0-01</x:v>
      </x:c>
      <x:c r="B2" s="12" t="str">
        <x:v>G0 · Chốt phạm vi</x:v>
      </x:c>
      <x:c r="C2" s="12" t="str">
        <x:v>Nguyễn Kiều Trang</x:v>
      </x:c>
      <x:c r="D2" s="12" t="str">
        <x:v>08:00–08:30</x:v>
      </x:c>
      <x:c r="E2" s="12" t="str">
        <x:v>v0/integration-trang</x:v>
      </x:c>
      <x:c r="F2" s="12" t="str">
        <x:v>Git, README</x:v>
      </x:c>
      <x:c r="G2" s="12" t="str">
        <x:v>Chọn main SHA làm baseline gốc; nhánh audit/prepare-v0; lưu Git graph</x:v>
      </x:c>
      <x:c r="H2" s="12" t="str">
        <x:v>Branch + SHA chính xác</x:v>
      </x:c>
      <x:c r="I2" s="12" t="str">
        <x:v>P0</x:v>
      </x:c>
      <x:c r="J2" s="12" t="str">
        <x:v>Chưa nghiệm thu</x:v>
      </x:c>
      <x:c r="K2" s="12" t="str"/>
      <x:c r="L2" s="12" t="str"/>
    </x:row>
    <x:row r="3" ht="58" customHeight="1">
      <x:c r="A3" s="10" t="str">
        <x:v>V0-02</x:v>
      </x:c>
      <x:c r="B3" s="10" t="str">
        <x:v>G0 · Kiến trúc</x:v>
      </x:c>
      <x:c r="C3" s="10" t="str">
        <x:v>Nguyễn Kiều Trang</x:v>
      </x:c>
      <x:c r="D3" s="10" t="str">
        <x:v>08:30–09:15</x:v>
      </x:c>
      <x:c r="E3" s="10" t="str">
        <x:v>v0/integration-trang</x:v>
      </x:c>
      <x:c r="F3" s="10" t="str">
        <x:v>models.h; inventory.h; inventory.c</x:v>
      </x:c>
      <x:c r="G3" s="10" t="str">
        <x:v>Chốt Inventory=ProductList/items, API ownership, không merge file_io từ nhánh khác nguyên khối</x:v>
      </x:c>
      <x:c r="H3" s="10" t="str">
        <x:v>Architecture decision record</x:v>
      </x:c>
      <x:c r="I3" s="10" t="str">
        <x:v>P0</x:v>
      </x:c>
      <x:c r="J3" s="10" t="str">
        <x:v>Chưa nghiệm thu</x:v>
      </x:c>
      <x:c r="K3" s="10" t="str"/>
      <x:c r="L3" s="10" t="str"/>
    </x:row>
    <x:row r="4" ht="58" customHeight="1">
      <x:c r="A4" s="12" t="str">
        <x:v>V0-03</x:v>
      </x:c>
      <x:c r="B4" s="12" t="str">
        <x:v>G1 · Chức năng</x:v>
      </x:c>
      <x:c r="C4" s="12" t="str">
        <x:v>Nguyễn Kiều Trang</x:v>
      </x:c>
      <x:c r="D4" s="12" t="str">
        <x:v>09:15–10:15</x:v>
      </x:c>
      <x:c r="E4" s="12" t="str">
        <x:v>v0/integration-trang</x:v>
      </x:c>
      <x:c r="F4" s="12" t="str">
        <x:v>product.c; inventory.c</x:v>
      </x:c>
      <x:c r="G4" s="12" t="str">
        <x:v>Rà CRUD, nhập/xuất, tồn âm, duplicate; không xóa dấu vết lỗi bảo mật trước audit</x:v>
      </x:c>
      <x:c r="H4" s="12" t="str">
        <x:v>Functional smoke matrix</x:v>
      </x:c>
      <x:c r="I4" s="12" t="str">
        <x:v>P0</x:v>
      </x:c>
      <x:c r="J4" s="12" t="str">
        <x:v>Chưa nghiệm thu</x:v>
      </x:c>
      <x:c r="K4" s="12" t="str"/>
      <x:c r="L4" s="12" t="str"/>
    </x:row>
    <x:row r="5" ht="58" customHeight="1">
      <x:c r="A5" s="10" t="str">
        <x:v>V0-04</x:v>
      </x:c>
      <x:c r="B5" s="10" t="str">
        <x:v>G1 · Parser</x:v>
      </x:c>
      <x:c r="C5" s="10" t="str">
        <x:v>Nguyễn Kiều Trang</x:v>
      </x:c>
      <x:c r="D5" s="10" t="str">
        <x:v>10:15–11:45</x:v>
      </x:c>
      <x:c r="E5" s="10" t="str">
        <x:v>v0/integration-trang</x:v>
      </x:c>
      <x:c r="F5" s="10" t="str">
        <x:v>file_io.c; data/products.txt</x:v>
      </x:c>
      <x:c r="G5" s="10" t="str">
        <x:v>Kiểm thử định dạng 6 trường và tương thích 4 trường, line 512, số sai, dữ liệu sau load/save</x:v>
      </x:c>
      <x:c r="H5" s="10" t="str">
        <x:v>roundtrip.log + malformed inputs</x:v>
      </x:c>
      <x:c r="I5" s="10" t="str">
        <x:v>P0</x:v>
      </x:c>
      <x:c r="J5" s="10" t="str">
        <x:v>Chưa nghiệm thu</x:v>
      </x:c>
      <x:c r="K5" s="10" t="str"/>
      <x:c r="L5" s="10" t="str"/>
    </x:row>
    <x:row r="6" ht="58" customHeight="1">
      <x:c r="A6" s="12" t="str">
        <x:v>V0-05</x:v>
      </x:c>
      <x:c r="B6" s="12" t="str">
        <x:v>G1 · Report/CLI</x:v>
      </x:c>
      <x:c r="C6" s="12" t="str">
        <x:v>Nguyễn Kiều Trang</x:v>
      </x:c>
      <x:c r="D6" s="12" t="str">
        <x:v>13:00–14:00</x:v>
      </x:c>
      <x:c r="E6" s="12" t="str">
        <x:v>v0/integration-trang</x:v>
      </x:c>
      <x:c r="F6" s="12" t="str">
        <x:v>main.c; report.c</x:v>
      </x:c>
      <x:c r="G6" s="12" t="str">
        <x:v>Chạy menu, thống kê, hiển thị dữ liệu; kiểm tra crash và trạng thái</x:v>
      </x:c>
      <x:c r="H6" s="12" t="str">
        <x:v>cli-session.log</x:v>
      </x:c>
      <x:c r="I6" s="12" t="str">
        <x:v>P1</x:v>
      </x:c>
      <x:c r="J6" s="12" t="str">
        <x:v>Chưa nghiệm thu</x:v>
      </x:c>
      <x:c r="K6" s="12" t="str"/>
      <x:c r="L6" s="12" t="str"/>
    </x:row>
    <x:row r="7" ht="58" customHeight="1">
      <x:c r="A7" s="10" t="str">
        <x:v>V0-06</x:v>
      </x:c>
      <x:c r="B7" s="10" t="str">
        <x:v>G2 · Tích hợp</x:v>
      </x:c>
      <x:c r="C7" s="10" t="str">
        <x:v>Nguyễn Kiều Trang</x:v>
      </x:c>
      <x:c r="D7" s="10" t="str">
        <x:v>14:00–16:30</x:v>
      </x:c>
      <x:c r="E7" s="10" t="str">
        <x:v>v0/integration-trang</x:v>
      </x:c>
      <x:c r="F7" s="10" t="str">
        <x:v>PR 2 thành viên</x:v>
      </x:c>
      <x:c r="G7" s="10" t="str">
        <x:v>Review, chọn lọc cherry-pick tests/docs, giải conflict, freeze release candidate</x:v>
      </x:c>
      <x:c r="H7" s="10" t="str">
        <x:v>Pull requests + review</x:v>
      </x:c>
      <x:c r="I7" s="10" t="str">
        <x:v>P0</x:v>
      </x:c>
      <x:c r="J7" s="10" t="str">
        <x:v>Chưa nghiệm thu</x:v>
      </x:c>
      <x:c r="K7" s="10" t="str"/>
      <x:c r="L7" s="10" t="str"/>
    </x:row>
    <x:row r="8" ht="58" customHeight="1">
      <x:c r="A8" s="12" t="str">
        <x:v>V0-07</x:v>
      </x:c>
      <x:c r="B8" s="12" t="str">
        <x:v>G3 · Triage</x:v>
      </x:c>
      <x:c r="C8" s="12" t="str">
        <x:v>Nguyễn Kiều Trang</x:v>
      </x:c>
      <x:c r="D8" s="12" t="str">
        <x:v>16:30–17:30</x:v>
      </x:c>
      <x:c r="E8" s="12" t="str">
        <x:v>v0/integration-trang</x:v>
      </x:c>
      <x:c r="F8" s="12" t="str">
        <x:v>docs/findings/</x:v>
      </x:c>
      <x:c r="G8" s="12" t="str">
        <x:v>Review các nghi vấn, đánh dấu confirmed/unverified/seeded; không tuyên bố lỗi chỉ từ warning</x:v>
      </x:c>
      <x:c r="H8" s="12" t="str">
        <x:v>Reviewed finding register</x:v>
      </x:c>
      <x:c r="I8" s="12" t="str">
        <x:v>P1</x:v>
      </x:c>
      <x:c r="J8" s="12" t="str">
        <x:v>Chưa nghiệm thu</x:v>
      </x:c>
      <x:c r="K8" s="12" t="str"/>
      <x:c r="L8" s="12" t="str"/>
    </x:row>
    <x:row r="9" ht="58" customHeight="1">
      <x:c r="A9" s="10" t="str">
        <x:v>V0-08</x:v>
      </x:c>
      <x:c r="B9" s="10" t="str">
        <x:v>G4 · Kiểm soát</x:v>
      </x:c>
      <x:c r="C9" s="10" t="str">
        <x:v>Nguyễn Kiều Trang</x:v>
      </x:c>
      <x:c r="D9" s="10" t="str">
        <x:v>19:00–20:00</x:v>
      </x:c>
      <x:c r="E9" s="10" t="str">
        <x:v>v0/integration-trang</x:v>
      </x:c>
      <x:c r="F9" s="10" t="str">
        <x:v>audit/v0/</x:v>
      </x:c>
      <x:c r="G9" s="10" t="str">
        <x:v>Kiểm tra gates và chặn tag nếu build/IO hoặc bằng chứng chưa đủ</x:v>
      </x:c>
      <x:c r="H9" s="10" t="str">
        <x:v>Acceptance checklist</x:v>
      </x:c>
      <x:c r="I9" s="10" t="str">
        <x:v>P0</x:v>
      </x:c>
      <x:c r="J9" s="10" t="str">
        <x:v>Chưa nghiệm thu</x:v>
      </x:c>
      <x:c r="K9" s="10" t="str"/>
      <x:c r="L9" s="10" t="str"/>
    </x:row>
    <x:row r="10" ht="58" customHeight="1">
      <x:c r="A10" s="12" t="str">
        <x:v>V0-09</x:v>
      </x:c>
      <x:c r="B10" s="12" t="str">
        <x:v>G4 · Release</x:v>
      </x:c>
      <x:c r="C10" s="12" t="str">
        <x:v>Nguyễn Kiều Trang</x:v>
      </x:c>
      <x:c r="D10" s="12" t="str">
        <x:v>20:00–21:00</x:v>
      </x:c>
      <x:c r="E10" s="12" t="str">
        <x:v>v0/integration-trang</x:v>
      </x:c>
      <x:c r="F10" s="12" t="str">
        <x:v>Git tag v0-baseline</x:v>
      </x:c>
      <x:c r="G10" s="12" t="str">
        <x:v>Tạo tag khi có xác nhận 3 người; lưu SHA nguồn/manifest</x:v>
      </x:c>
      <x:c r="H10" s="12" t="str">
        <x:v>Git tag + release notes</x:v>
      </x:c>
      <x:c r="I10" s="12" t="str">
        <x:v>P0</x:v>
      </x:c>
      <x:c r="J10" s="12" t="str">
        <x:v>Chưa nghiệm thu</x:v>
      </x:c>
      <x:c r="K10" s="12" t="str"/>
      <x:c r="L10" s="12" t="str"/>
    </x:row>
    <x:row r="11" ht="58" customHeight="1">
      <x:c r="A11" s="10" t="str">
        <x:v>V0-10</x:v>
      </x:c>
      <x:c r="B11" s="10" t="str">
        <x:v>G0 · Đặc tả</x:v>
      </x:c>
      <x:c r="C11" s="10" t="str">
        <x:v>Hà Văn Đô</x:v>
      </x:c>
      <x:c r="D11" s="10" t="str">
        <x:v>08:00–09:00</x:v>
      </x:c>
      <x:c r="E11" s="10" t="str">
        <x:v>v0/spec-tests-do</x:v>
      </x:c>
      <x:c r="F11" s="10" t="str">
        <x:v>18REQ workbook; requirements.md</x:v>
      </x:c>
      <x:c r="G11" s="10" t="str">
        <x:v>Giữ 18 REQ và phân biệt safety/liveness/functional; kiểm tra từng REQ có thực sự áp dụng cho code</x:v>
      </x:c>
      <x:c r="H11" s="10" t="str">
        <x:v>REQ baseline register</x:v>
      </x:c>
      <x:c r="I11" s="10" t="str">
        <x:v>P0</x:v>
      </x:c>
      <x:c r="J11" s="10" t="str">
        <x:v>Chưa nghiệm thu</x:v>
      </x:c>
      <x:c r="K11" s="10" t="str"/>
      <x:c r="L11" s="10" t="str"/>
    </x:row>
    <x:row r="12" ht="58" customHeight="1">
      <x:c r="A12" s="12" t="str">
        <x:v>V0-11</x:v>
      </x:c>
      <x:c r="B12" s="12" t="str">
        <x:v>G0 · Truy vết</x:v>
      </x:c>
      <x:c r="C12" s="12" t="str">
        <x:v>Hà Văn Đô</x:v>
      </x:c>
      <x:c r="D12" s="12" t="str">
        <x:v>09:00–10:00</x:v>
      </x:c>
      <x:c r="E12" s="12" t="str">
        <x:v>v0/spec-tests-do</x:v>
      </x:c>
      <x:c r="F12" s="12" t="str">
        <x:v>source/include; src/*.c</x:v>
      </x:c>
      <x:c r="G12" s="12" t="str">
        <x:v>Mapping REQ→hàm→đường vào→công cụ→test→evidence; ghi no path nếu không chứng minh được</x:v>
      </x:c>
      <x:c r="H12" s="12" t="str">
        <x:v>REQ traceability sheet</x:v>
      </x:c>
      <x:c r="I12" s="12" t="str">
        <x:v>P0</x:v>
      </x:c>
      <x:c r="J12" s="12" t="str">
        <x:v>Chưa nghiệm thu</x:v>
      </x:c>
      <x:c r="K12" s="12" t="str"/>
      <x:c r="L12" s="12" t="str"/>
    </x:row>
    <x:row r="13" ht="58" customHeight="1">
      <x:c r="A13" s="10" t="str">
        <x:v>V0-12</x:v>
      </x:c>
      <x:c r="B13" s="10" t="str">
        <x:v>G1 · Test cases</x:v>
      </x:c>
      <x:c r="C13" s="10" t="str">
        <x:v>Hà Văn Đô</x:v>
      </x:c>
      <x:c r="D13" s="10" t="str">
        <x:v>10:00–11:30</x:v>
      </x:c>
      <x:c r="E13" s="10" t="str">
        <x:v>v0/spec-tests-do</x:v>
      </x:c>
      <x:c r="F13" s="10" t="str">
        <x:v>tests/; TestCase Excel</x:v>
      </x:c>
      <x:c r="G13" s="10" t="str">
        <x:v>Đối chiếu 22 TC; bổ sung input, oracle, preconditions, expected/actual và loại negative test</x:v>
      </x:c>
      <x:c r="H13" s="10" t="str">
        <x:v>TC matrix with 22+ rows</x:v>
      </x:c>
      <x:c r="I13" s="10" t="str">
        <x:v>P0</x:v>
      </x:c>
      <x:c r="J13" s="10" t="str">
        <x:v>Chưa nghiệm thu</x:v>
      </x:c>
      <x:c r="K13" s="10" t="str"/>
      <x:c r="L13" s="10" t="str"/>
    </x:row>
    <x:row r="14" ht="58" customHeight="1">
      <x:c r="A14" s="12" t="str">
        <x:v>V0-13</x:v>
      </x:c>
      <x:c r="B14" s="12" t="str">
        <x:v>G1 · Test validation</x:v>
      </x:c>
      <x:c r="C14" s="12" t="str">
        <x:v>Hà Văn Đô</x:v>
      </x:c>
      <x:c r="D14" s="12" t="str">
        <x:v>11:30–12:00</x:v>
      </x:c>
      <x:c r="E14" s="12" t="str">
        <x:v>v0/spec-tests-do</x:v>
      </x:c>
      <x:c r="F14" s="12" t="str">
        <x:v>test_validation.c</x:v>
      </x:c>
      <x:c r="G14" s="12" t="str">
        <x:v>Kiểm tra mapping validation và lỗi kiểm soát đầu vào; không chuyển FAIL thành PASS bằng đổi expected</x:v>
      </x:c>
      <x:c r="H14" s="12" t="str">
        <x:v>validation test review</x:v>
      </x:c>
      <x:c r="I14" s="12" t="str">
        <x:v>P0</x:v>
      </x:c>
      <x:c r="J14" s="12" t="str">
        <x:v>Chưa nghiệm thu</x:v>
      </x:c>
      <x:c r="K14" s="12" t="str"/>
      <x:c r="L14" s="12" t="str"/>
    </x:row>
    <x:row r="15" ht="58" customHeight="1">
      <x:c r="A15" s="10" t="str">
        <x:v>V0-14</x:v>
      </x:c>
      <x:c r="B15" s="10" t="str">
        <x:v>G2 · CWE test</x:v>
      </x:c>
      <x:c r="C15" s="10" t="str">
        <x:v>Hà Văn Đô</x:v>
      </x:c>
      <x:c r="D15" s="10" t="str">
        <x:v>13:00–14:30</x:v>
      </x:c>
      <x:c r="E15" s="10" t="str">
        <x:v>v0/spec-tests-do</x:v>
      </x:c>
      <x:c r="F15" s="10" t="str">
        <x:v>test_cwe415.c; test_cwe476.c</x:v>
      </x:c>
      <x:c r="G15" s="10" t="str">
        <x:v>Sửa test truy cập products/items, phân biệt test chứng minh guard với test gây lỗi</x:v>
      </x:c>
      <x:c r="H15" s="10" t="str">
        <x:v>Compiled harness + logs</x:v>
      </x:c>
      <x:c r="I15" s="10" t="str">
        <x:v>P0</x:v>
      </x:c>
      <x:c r="J15" s="10" t="str">
        <x:v>Chưa nghiệm thu</x:v>
      </x:c>
      <x:c r="K15" s="10" t="str"/>
      <x:c r="L15" s="10" t="str"/>
    </x:row>
    <x:row r="16" ht="58" customHeight="1">
      <x:c r="A16" s="12" t="str">
        <x:v>V0-15</x:v>
      </x:c>
      <x:c r="B16" s="12" t="str">
        <x:v>G2 · Bộ nhớ</x:v>
      </x:c>
      <x:c r="C16" s="12" t="str">
        <x:v>Hà Văn Đô</x:v>
      </x:c>
      <x:c r="D16" s="12" t="str">
        <x:v>14:30–15:30</x:v>
      </x:c>
      <x:c r="E16" s="12" t="str">
        <x:v>v0/spec-tests-do</x:v>
      </x:c>
      <x:c r="F16" s="12" t="str">
        <x:v>docs/architecture/</x:v>
      </x:c>
      <x:c r="G16" s="12" t="str">
        <x:v>Sơ đồ ownership malloc→realloc→free, invalidation sau realloc, các nguồn input file/stdin</x:v>
      </x:c>
      <x:c r="H16" s="12" t="str">
        <x:v>Memory lifecycle diagram</x:v>
      </x:c>
      <x:c r="I16" s="12" t="str">
        <x:v>P1</x:v>
      </x:c>
      <x:c r="J16" s="12" t="str">
        <x:v>Chưa nghiệm thu</x:v>
      </x:c>
      <x:c r="K16" s="12" t="str"/>
      <x:c r="L16" s="12" t="str"/>
    </x:row>
    <x:row r="17" ht="58" customHeight="1">
      <x:c r="A17" s="10" t="str">
        <x:v>V0-16</x:v>
      </x:c>
      <x:c r="B17" s="10" t="str">
        <x:v>G2 · Chương 2</x:v>
      </x:c>
      <x:c r="C17" s="10" t="str">
        <x:v>Hà Văn Đô</x:v>
      </x:c>
      <x:c r="D17" s="10" t="str">
        <x:v>15:30–16:30</x:v>
      </x:c>
      <x:c r="E17" s="10" t="str">
        <x:v>v0/spec-tests-do</x:v>
      </x:c>
      <x:c r="F17" s="10" t="str">
        <x:v>docs/risk-assessment.md</x:v>
      </x:c>
      <x:c r="G17" s="10" t="str">
        <x:v>Risk assessment: assets, attack surface, likelihood/impact, vùng mã rủi ro</x:v>
      </x:c>
      <x:c r="H17" s="10" t="str">
        <x:v>Risk &amp; attack surface table</x:v>
      </x:c>
      <x:c r="I17" s="10" t="str">
        <x:v>P1</x:v>
      </x:c>
      <x:c r="J17" s="10" t="str">
        <x:v>Chưa nghiệm thu</x:v>
      </x:c>
      <x:c r="K17" s="10" t="str"/>
      <x:c r="L17" s="10" t="str"/>
    </x:row>
    <x:row r="18" ht="58" customHeight="1">
      <x:c r="A18" s="12" t="str">
        <x:v>V0-17</x:v>
      </x:c>
      <x:c r="B18" s="12" t="str">
        <x:v>G3 · Formal</x:v>
      </x:c>
      <x:c r="C18" s="12" t="str">
        <x:v>Hà Văn Đô</x:v>
      </x:c>
      <x:c r="D18" s="12" t="str">
        <x:v>16:30–17:30</x:v>
      </x:c>
      <x:c r="E18" s="12" t="str">
        <x:v>v0/spec-tests-do</x:v>
      </x:c>
      <x:c r="F18" s="12" t="str">
        <x:v>MoHinhTrangThai; ThuocTinhAnToan; KiemTraSoHoc</x:v>
      </x:c>
      <x:c r="G18" s="12" t="str">
        <x:v>Đối chiếu 18 CTL với mô hình reachable; gắn nhãn chưa chạy; ghi k/SMT bit-width khi áp dụng</x:v>
      </x:c>
      <x:c r="H18" s="12" t="str">
        <x:v>Model assumptions audit</x:v>
      </x:c>
      <x:c r="I18" s="12" t="str">
        <x:v>P1</x:v>
      </x:c>
      <x:c r="J18" s="12" t="str">
        <x:v>Chưa nghiệm thu</x:v>
      </x:c>
      <x:c r="K18" s="12" t="str"/>
      <x:c r="L18" s="12" t="str"/>
    </x:row>
    <x:row r="19" ht="58" customHeight="1">
      <x:c r="A19" s="10" t="str">
        <x:v>V0-18</x:v>
      </x:c>
      <x:c r="B19" s="10" t="str">
        <x:v>G4 · Hồ sơ</x:v>
      </x:c>
      <x:c r="C19" s="10" t="str">
        <x:v>Hà Văn Đô</x:v>
      </x:c>
      <x:c r="D19" s="10" t="str">
        <x:v>19:00–21:00</x:v>
      </x:c>
      <x:c r="E19" s="10" t="str">
        <x:v>v0/spec-tests-do</x:v>
      </x:c>
      <x:c r="F19" s="10" t="str">
        <x:v>audit/v0/README.md; docs/test_cases/</x:v>
      </x:c>
      <x:c r="G19" s="10" t="str">
        <x:v>Hướng dẫn tái lập, REQ coverage, hạn chế, chứng cứ audit vs seeded riêng</x:v>
      </x:c>
      <x:c r="H19" s="10" t="str">
        <x:v>v0 README + spec manifest</x:v>
      </x:c>
      <x:c r="I19" s="10" t="str">
        <x:v>P0</x:v>
      </x:c>
      <x:c r="J19" s="10" t="str">
        <x:v>Chưa nghiệm thu</x:v>
      </x:c>
      <x:c r="K19" s="10" t="str"/>
      <x:c r="L19" s="10" t="str"/>
    </x:row>
    <x:row r="20" ht="58" customHeight="1">
      <x:c r="A20" s="12" t="str">
        <x:v>V0-19</x:v>
      </x:c>
      <x:c r="B20" s="12" t="str">
        <x:v>G0 · Environment</x:v>
      </x:c>
      <x:c r="C20" s="12" t="str">
        <x:v>Nguyễn Quang Thọ</x:v>
      </x:c>
      <x:c r="D20" s="12" t="str">
        <x:v>08:00–09:00</x:v>
      </x:c>
      <x:c r="E20" s="12" t="str">
        <x:v>v0/build-evidence-tho</x:v>
      </x:c>
      <x:c r="F20" s="12" t="str">
        <x:v>GCC/Make/OS</x:v>
      </x:c>
      <x:c r="G20" s="12" t="str">
        <x:v>Ghi gcc --version, make --version, OS, platform, compile flags, SHA</x:v>
      </x:c>
      <x:c r="H20" s="12" t="str">
        <x:v>environment.txt</x:v>
      </x:c>
      <x:c r="I20" s="12" t="str">
        <x:v>P0</x:v>
      </x:c>
      <x:c r="J20" s="12" t="str">
        <x:v>Chưa nghiệm thu</x:v>
      </x:c>
      <x:c r="K20" s="12" t="str"/>
      <x:c r="L20" s="12" t="str"/>
    </x:row>
    <x:row r="21" ht="58" customHeight="1">
      <x:c r="A21" s="10" t="str">
        <x:v>V0-20</x:v>
      </x:c>
      <x:c r="B21" s="10" t="str">
        <x:v>G0 · Build</x:v>
      </x:c>
      <x:c r="C21" s="10" t="str">
        <x:v>Nguyễn Quang Thọ</x:v>
      </x:c>
      <x:c r="D21" s="10" t="str">
        <x:v>09:00–10:00</x:v>
      </x:c>
      <x:c r="E21" s="10" t="str">
        <x:v>v0/build-evidence-tho</x:v>
      </x:c>
      <x:c r="F21" s="10" t="str">
        <x:v>source/Makefile</x:v>
      </x:c>
      <x:c r="G21" s="10" t="str">
        <x:v>Sửa test path, link module, clean portable; thêm -std=c17 -g -Wall -Wextra; lưu compile warnings</x:v>
      </x:c>
      <x:c r="H21" s="10" t="str">
        <x:v>clean build.log</x:v>
      </x:c>
      <x:c r="I21" s="10" t="str">
        <x:v>P0</x:v>
      </x:c>
      <x:c r="J21" s="10" t="str">
        <x:v>Chưa nghiệm thu</x:v>
      </x:c>
      <x:c r="K21" s="10" t="str"/>
      <x:c r="L21" s="10" t="str"/>
    </x:row>
    <x:row r="22" ht="58" customHeight="1">
      <x:c r="A22" s="12" t="str">
        <x:v>V0-21</x:v>
      </x:c>
      <x:c r="B22" s="12" t="str">
        <x:v>G1 · Test targets</x:v>
      </x:c>
      <x:c r="C22" s="12" t="str">
        <x:v>Nguyễn Quang Thọ</x:v>
      </x:c>
      <x:c r="D22" s="12" t="str">
        <x:v>10:00–11:30</x:v>
      </x:c>
      <x:c r="E22" s="12" t="str">
        <x:v>v0/build-evidence-tho</x:v>
      </x:c>
      <x:c r="F22" s="12" t="str">
        <x:v>source/Makefile; tests/</x:v>
      </x:c>
      <x:c r="G22" s="12" t="str">
        <x:v>Tạo test-inventory/utils/validation/report theo phụ thuộc; kiểm tra exit codes</x:v>
      </x:c>
      <x:c r="H22" s="12" t="str">
        <x:v>per-suite logs</x:v>
      </x:c>
      <x:c r="I22" s="12" t="str">
        <x:v>P0</x:v>
      </x:c>
      <x:c r="J22" s="12" t="str">
        <x:v>Chưa nghiệm thu</x:v>
      </x:c>
      <x:c r="K22" s="12" t="str"/>
      <x:c r="L22" s="12" t="str"/>
    </x:row>
    <x:row r="23" ht="58" customHeight="1">
      <x:c r="A23" s="10" t="str">
        <x:v>V0-22</x:v>
      </x:c>
      <x:c r="B23" s="10" t="str">
        <x:v>G1 · Runner</x:v>
      </x:c>
      <x:c r="C23" s="10" t="str">
        <x:v>Nguyễn Quang Thọ</x:v>
      </x:c>
      <x:c r="D23" s="10" t="str">
        <x:v>11:30–12:00</x:v>
      </x:c>
      <x:c r="E23" s="10" t="str">
        <x:v>v0/build-evidence-tho</x:v>
      </x:c>
      <x:c r="F23" s="10" t="str">
        <x:v>scripts/run-tests*; Makefile</x:v>
      </x:c>
      <x:c r="G23" s="10" t="str">
        <x:v>test-all chạy các suite, phân biệt expected crash harness, không nuốt exit code</x:v>
      </x:c>
      <x:c r="H23" s="10" t="str">
        <x:v>test-all.log</x:v>
      </x:c>
      <x:c r="I23" s="10" t="str">
        <x:v>P0</x:v>
      </x:c>
      <x:c r="J23" s="10" t="str">
        <x:v>Chưa nghiệm thu</x:v>
      </x:c>
      <x:c r="K23" s="10" t="str"/>
      <x:c r="L23" s="10" t="str"/>
    </x:row>
    <x:row r="24" ht="58" customHeight="1">
      <x:c r="A24" s="12" t="str">
        <x:v>V0-23</x:v>
      </x:c>
      <x:c r="B24" s="12" t="str">
        <x:v>G2 · ASan/UBSan</x:v>
      </x:c>
      <x:c r="C24" s="12" t="str">
        <x:v>Nguyễn Quang Thọ</x:v>
      </x:c>
      <x:c r="D24" s="12" t="str">
        <x:v>13:00–14:30</x:v>
      </x:c>
      <x:c r="E24" s="12" t="str">
        <x:v>v0/build-evidence-tho</x:v>
      </x:c>
      <x:c r="F24" s="12" t="str">
        <x:v>source/; results/asan; results/ubsan</x:v>
      </x:c>
      <x:c r="G24" s="12" t="str">
        <x:v>Build sanitizer riêng, chạy valid/boundary/abnormal; log stack trace/exit code</x:v>
      </x:c>
      <x:c r="H24" s="12" t="str">
        <x:v>asan-v0.log; ubsan-v0.log</x:v>
      </x:c>
      <x:c r="I24" s="12" t="str">
        <x:v>P0</x:v>
      </x:c>
      <x:c r="J24" s="12" t="str">
        <x:v>Chưa nghiệm thu</x:v>
      </x:c>
      <x:c r="K24" s="12" t="str"/>
      <x:c r="L24" s="12" t="str"/>
    </x:row>
    <x:row r="25" ht="58" customHeight="1">
      <x:c r="A25" s="10" t="str">
        <x:v>V0-24</x:v>
      </x:c>
      <x:c r="B25" s="10" t="str">
        <x:v>G2 · Static</x:v>
      </x:c>
      <x:c r="C25" s="10" t="str">
        <x:v>Nguyễn Quang Thọ</x:v>
      </x:c>
      <x:c r="D25" s="10" t="str">
        <x:v>14:30–15:30</x:v>
      </x:c>
      <x:c r="E25" s="10" t="str">
        <x:v>v0/build-evidence-tho</x:v>
      </x:c>
      <x:c r="F25" s="10" t="str">
        <x:v>results/cppcheck/; results/pattern_scanner/</x:v>
      </x:c>
      <x:c r="G25" s="10" t="str">
        <x:v>Chạy cppcheck--enable=all và pattern scanner nếu có bộ công cụ; lưu cảnh báo raw</x:v>
      </x:c>
      <x:c r="H25" s="10" t="str">
        <x:v>cppcheck-v0.txt + command.txt</x:v>
      </x:c>
      <x:c r="I25" s="10" t="str">
        <x:v>P1</x:v>
      </x:c>
      <x:c r="J25" s="10" t="str">
        <x:v>Chưa nghiệm thu</x:v>
      </x:c>
      <x:c r="K25" s="10" t="str"/>
      <x:c r="L25" s="10" t="str"/>
    </x:row>
    <x:row r="26" ht="58" customHeight="1">
      <x:c r="A26" s="12" t="str">
        <x:v>V0-25</x:v>
      </x:c>
      <x:c r="B26" s="12" t="str">
        <x:v>G3 · Phân loại</x:v>
      </x:c>
      <x:c r="C26" s="12" t="str">
        <x:v>Nguyễn Quang Thọ</x:v>
      </x:c>
      <x:c r="D26" s="12" t="str">
        <x:v>15:30–16:30</x:v>
      </x:c>
      <x:c r="E26" s="12" t="str">
        <x:v>v0/build-evidence-tho</x:v>
      </x:c>
      <x:c r="F26" s="12" t="str">
        <x:v>results/baseline/</x:v>
      </x:c>
      <x:c r="G26" s="12" t="str">
        <x:v>Tổng hợp exit codes, pass/fail thực tế, WARNING vs confirmed; file evidence paths</x:v>
      </x:c>
      <x:c r="H26" s="12" t="str">
        <x:v>run-manifest.csv</x:v>
      </x:c>
      <x:c r="I26" s="12" t="str">
        <x:v>P0</x:v>
      </x:c>
      <x:c r="J26" s="12" t="str">
        <x:v>Chưa nghiệm thu</x:v>
      </x:c>
      <x:c r="K26" s="12" t="str"/>
      <x:c r="L26" s="12" t="str"/>
    </x:row>
    <x:row r="27" ht="58" customHeight="1">
      <x:c r="A27" s="10" t="str">
        <x:v>V0-26</x:v>
      </x:c>
      <x:c r="B27" s="10" t="str">
        <x:v>G3 · Clean</x:v>
      </x:c>
      <x:c r="C27" s="10" t="str">
        <x:v>Nguyễn Quang Thọ</x:v>
      </x:c>
      <x:c r="D27" s="10" t="str">
        <x:v>16:30–17:30</x:v>
      </x:c>
      <x:c r="E27" s="10" t="str">
        <x:v>v0/build-evidence-tho</x:v>
      </x:c>
      <x:c r="F27" s="10" t="str">
        <x:v>.gitignore; *.o</x:v>
      </x:c>
      <x:c r="G27" s="10" t="str">
        <x:v>Xóa khỏi tracking file build tạo ra, giữ logs; build từ clone sạch</x:v>
      </x:c>
      <x:c r="H27" s="10" t="str">
        <x:v>clean-checkout.log</x:v>
      </x:c>
      <x:c r="I27" s="10" t="str">
        <x:v>P1</x:v>
      </x:c>
      <x:c r="J27" s="10" t="str">
        <x:v>Chưa nghiệm thu</x:v>
      </x:c>
      <x:c r="K27" s="10" t="str"/>
      <x:c r="L27" s="10" t="str"/>
    </x:row>
    <x:row r="28" ht="58" customHeight="1">
      <x:c r="A28" s="12" t="str">
        <x:v>V0-27</x:v>
      </x:c>
      <x:c r="B28" s="12" t="str">
        <x:v>G4 · Reproduce</x:v>
      </x:c>
      <x:c r="C28" s="12" t="str">
        <x:v>Nguyễn Quang Thọ</x:v>
      </x:c>
      <x:c r="D28" s="12" t="str">
        <x:v>19:00–21:00</x:v>
      </x:c>
      <x:c r="E28" s="12" t="str">
        <x:v>v0/build-evidence-tho</x:v>
      </x:c>
      <x:c r="F28" s="12" t="str">
        <x:v>audit/v0/README.md</x:v>
      </x:c>
      <x:c r="G28" s="12" t="str">
        <x:v>Checkout release candidate ở folder mới và chạy tất cả command; báo blocker cho Trang</x:v>
      </x:c>
      <x:c r="H28" s="12" t="str">
        <x:v>reproduction.log</x:v>
      </x:c>
      <x:c r="I28" s="12" t="str">
        <x:v>P0</x:v>
      </x:c>
      <x:c r="J28" s="12" t="str">
        <x:v>Chưa nghiệm thu</x:v>
      </x:c>
      <x:c r="K28" s="12" t="str"/>
      <x:c r="L28" s="12" t="str"/>
    </x:row>
  </x:sheetData>
  <x:conditionalFormatting sqref="J2:J28">
    <x:cfRule type="expression" dxfId="0" priority="1">
      <x:formula>J2="Đạt"</x:formula>
    </x:cfRule>
    <x:cfRule type="expression" dxfId="1" priority="2">
      <x:formula>J2="Bị chặn"</x:formula>
    </x:cfRule>
  </x:conditionalFormatting>
  <x:dataValidations count="1">
    <x:dataValidation type="list" sqref="J2:J28">
      <x:formula1>"Chưa nghiệm thu,Đang thực hiện,Bị chặn,Đạt,Không đạt,Không áp dụng"</x:formula1>
    </x:dataValidation>
  </x:dataValidations>
  <x:pageMargins left="0.7" right="0.7" top="0.75" bottom="0.75" header="0.3" footer="0.3"/>
  <x:tableParts count="1">
    <x:tablePart xmlns:r="http://schemas.openxmlformats.org/officeDocument/2006/relationships" r:id="R5e8e575aea274790"/>
  </x:tableParts>
</x:worksheet>
</file>

<file path=xl/worksheets/sheet2.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2" hidden="0" customWidth="1"/>
    <x:col min="2" max="2" width="95" hidden="0" customWidth="1"/>
    <x:col min="3" max="3" width="15" hidden="0" customWidth="1"/>
    <x:col min="4" max="4" width="12" hidden="0" customWidth="1"/>
    <x:col min="5" max="5" width="34" hidden="0" customWidth="1"/>
    <x:col min="6" max="6" width="36" hidden="0" customWidth="1"/>
    <x:col min="7" max="7" width="22" hidden="0" customWidth="1"/>
    <x:col min="8" max="8" width="21" hidden="0" customWidth="1"/>
    <x:col min="9" max="9" width="30" hidden="0" customWidth="1"/>
    <x:col min="10" max="10" width="20" hidden="0" customWidth="1"/>
    <x:col min="11" max="11" width="54" hidden="0" customWidth="1"/>
  </x:cols>
  <x:sheetData>
    <x:row r="1" ht="36" customHeight="1">
      <x:c r="A1" s="5" t="str">
        <x:v>REQ</x:v>
      </x:c>
      <x:c r="B1" s="5" t="str">
        <x:v>Nội dung nguyên văn từ đặc tả</x:v>
      </x:c>
      <x:c r="C1" s="5" t="str">
        <x:v>Loại</x:v>
      </x:c>
      <x:c r="D1" s="5" t="str">
        <x:v>Ưu tiên</x:v>
      </x:c>
      <x:c r="E1" s="5" t="str">
        <x:v>Đối tượng kiểm tra đề xuất</x:v>
      </x:c>
      <x:c r="F1" s="5" t="str">
        <x:v>Phương pháp đề xuất</x:v>
      </x:c>
      <x:c r="G1" s="5" t="str">
        <x:v>Kết luận thực tế</x:v>
      </x:c>
      <x:c r="H1" s="5" t="str">
        <x:v>TC liên quan</x:v>
      </x:c>
      <x:c r="I1" s="5" t="str">
        <x:v>Evidence path</x:v>
      </x:c>
      <x:c r="J1" s="5" t="str">
        <x:v>Commit SHA</x:v>
      </x:c>
      <x:c r="K1" s="5" t="str">
        <x:v>Giới hạn / ghi chú</x:v>
      </x:c>
    </x:row>
    <x:row r="2" ht="75" customHeight="1">
      <x:c r="A2" s="12" t="str">
        <x:v>REQ-1</x:v>
      </x:c>
      <x:c r="B2" s="12" t="str">
        <x:v>ProductList luôn thỏa count &lt;= capacity; khi count &gt; 0 thì items khác NULL và trỏ tới vùng nhớ còn hiệu lực.</x:v>
      </x:c>
      <x:c r="C2" s="12" t="str">
        <x:v>safety</x:v>
      </x:c>
      <x:c r="D2" s="12" t="str">
        <x:v>HIGH</x:v>
      </x:c>
      <x:c r="E2" s="12" t="str">
        <x:v>models.h; product.c; inventory.c</x:v>
      </x:c>
      <x:c r="F2" s="12" t="str">
        <x:v>Invariant review + assertion/harness</x:v>
      </x:c>
      <x:c r="G2" s="12" t="str">
        <x:v>Chưa kiểm chứng</x:v>
      </x:c>
      <x:c r="H2" s="12" t="str"/>
      <x:c r="I2" s="12" t="str"/>
      <x:c r="J2" s="12" t="str"/>
      <x:c r="K2" s="12" t="str">
        <x:v>Không kết luận nếu thiếu log và điều kiện áp dụng</x:v>
      </x:c>
    </x:row>
    <x:row r="3" ht="75" customHeight="1">
      <x:c r="A3" s="10" t="str">
        <x:v>REQ-2</x:v>
      </x:c>
      <x:c r="B3" s="10" t="str">
        <x:v>Trước khi mở rộng ProductList bằng capacity * 2, phải kiểm tra capacity &lt;= SIZE_MAX / 2 để tránh tràn số size_t.</x:v>
      </x:c>
      <x:c r="C3" s="10" t="str">
        <x:v>safety</x:v>
      </x:c>
      <x:c r="D3" s="10" t="str">
        <x:v>HIGH</x:v>
      </x:c>
      <x:c r="E3" s="10" t="str">
        <x:v>product.c; inventory.c</x:v>
      </x:c>
      <x:c r="F3" s="10" t="str">
        <x:v>SMT bit-vector + code guard review</x:v>
      </x:c>
      <x:c r="G3" s="10" t="str">
        <x:v>Chưa kiểm chứng</x:v>
      </x:c>
      <x:c r="H3" s="10" t="str"/>
      <x:c r="I3" s="10" t="str"/>
      <x:c r="J3" s="10" t="str"/>
      <x:c r="K3" s="10" t="str">
        <x:v>Không kết luận nếu thiếu log và điều kiện áp dụng</x:v>
      </x:c>
    </x:row>
    <x:row r="4" ht="75" customHeight="1">
      <x:c r="A4" s="12" t="str">
        <x:v>REQ-3</x:v>
      </x:c>
      <x:c r="B4" s="12" t="str">
        <x:v>Trước realloc, phải kiểm tra new_cap &lt;= SIZE_MAX / sizeof(Product) để phép nhân kích thước cấp phát không bị tràn.</x:v>
      </x:c>
      <x:c r="C4" s="12" t="str">
        <x:v>safety</x:v>
      </x:c>
      <x:c r="D4" s="12" t="str">
        <x:v>HIGH</x:v>
      </x:c>
      <x:c r="E4" s="12" t="str">
        <x:v>product.c; inventory.c</x:v>
      </x:c>
      <x:c r="F4" s="12" t="str">
        <x:v>SMT bit-vector + code guard review</x:v>
      </x:c>
      <x:c r="G4" s="12" t="str">
        <x:v>Chưa kiểm chứng</x:v>
      </x:c>
      <x:c r="H4" s="12" t="str"/>
      <x:c r="I4" s="12" t="str"/>
      <x:c r="J4" s="12" t="str"/>
      <x:c r="K4" s="12" t="str">
        <x:v>Không kết luận nếu thiếu log và điều kiện áp dụng</x:v>
      </x:c>
    </x:row>
    <x:row r="5" ht="75" customHeight="1">
      <x:c r="A5" s="10" t="str">
        <x:v>REQ-4</x:v>
      </x:c>
      <x:c r="B5" s="10" t="str">
        <x:v>Trong import_stock, chỉ cộng khi add_quantity &gt; 0, tồn kho hiện tại hợp lệ và current_stock &lt;= INT_MAX - add_quantity; nếu không phải từ chối trước khi cập nhật.</x:v>
      </x:c>
      <x:c r="C5" s="10" t="str">
        <x:v>safety</x:v>
      </x:c>
      <x:c r="D5" s="10" t="str">
        <x:v>HIGH</x:v>
      </x:c>
      <x:c r="E5" s="10" t="str">
        <x:v>inventory.c; validation.c</x:v>
      </x:c>
      <x:c r="F5" s="10" t="str">
        <x:v>Boundary test + UBSan</x:v>
      </x:c>
      <x:c r="G5" s="10" t="str">
        <x:v>Chưa kiểm chứng</x:v>
      </x:c>
      <x:c r="H5" s="10" t="str"/>
      <x:c r="I5" s="10" t="str"/>
      <x:c r="J5" s="10" t="str"/>
      <x:c r="K5" s="10" t="str">
        <x:v>Không kết luận nếu thiếu log và điều kiện áp dụng</x:v>
      </x:c>
    </x:row>
    <x:row r="6" ht="75" customHeight="1">
      <x:c r="A6" s="12" t="str">
        <x:v>REQ-5</x:v>
      </x:c>
      <x:c r="B6" s="12" t="str">
        <x:v>Trong export_stock, số lượng xuất phải &gt; 0 và &lt;= tồn kho hiện tại; không được tạo ra tồn kho âm hoặc cập nhật khi điều kiện không thỏa.</x:v>
      </x:c>
      <x:c r="C6" s="12" t="str">
        <x:v>safety</x:v>
      </x:c>
      <x:c r="D6" s="12" t="str">
        <x:v>HIGH</x:v>
      </x:c>
      <x:c r="E6" s="12" t="str">
        <x:v>inventory.c; validation.c</x:v>
      </x:c>
      <x:c r="F6" s="12" t="str">
        <x:v>Boundary test + assertion</x:v>
      </x:c>
      <x:c r="G6" s="12" t="str">
        <x:v>Chưa kiểm chứng</x:v>
      </x:c>
      <x:c r="H6" s="12" t="str"/>
      <x:c r="I6" s="12" t="str"/>
      <x:c r="J6" s="12" t="str"/>
      <x:c r="K6" s="12" t="str">
        <x:v>Không kết luận nếu thiếu log và điều kiện áp dụng</x:v>
      </x:c>
    </x:row>
    <x:row r="7" ht="75" customHeight="1">
      <x:c r="A7" s="10" t="str">
        <x:v>REQ-6</x:v>
      </x:c>
      <x:c r="B7" s="10" t="str">
        <x:v>Mọi truy cập ProductList.items[i] trong thêm/sửa/xóa/tìm kiếm/báo cáo phải thỏa i &lt; count &lt;= capacity và items còn hiệu lực.</x:v>
      </x:c>
      <x:c r="C7" s="10" t="str">
        <x:v>safety</x:v>
      </x:c>
      <x:c r="D7" s="10" t="str">
        <x:v>HIGH</x:v>
      </x:c>
      <x:c r="E7" s="10" t="str">
        <x:v>product.c; report.c</x:v>
      </x:c>
      <x:c r="F7" s="10" t="str">
        <x:v>ASan + bounds harness</x:v>
      </x:c>
      <x:c r="G7" s="10" t="str">
        <x:v>Chưa kiểm chứng</x:v>
      </x:c>
      <x:c r="H7" s="10" t="str"/>
      <x:c r="I7" s="10" t="str"/>
      <x:c r="J7" s="10" t="str"/>
      <x:c r="K7" s="10" t="str">
        <x:v>Không kết luận nếu thiếu log và điều kiện áp dụng</x:v>
      </x:c>
    </x:row>
    <x:row r="8" ht="75" customHeight="1">
      <x:c r="A8" s="12" t="str">
        <x:v>REQ-7</x:v>
      </x:c>
      <x:c r="B8" s="12" t="str">
        <x:v>Với đầu vào hữu hạn và thao tác I/O trả về, mọi thao tác thêm/sửa/xóa/nhập/xuất đã bắt đầu phải kết thúc ở trạng thái thành công hoặc từ chối có kiểm soát; không lặp vô hạn.</x:v>
      </x:c>
      <x:c r="C8" s="12" t="str">
        <x:v>liveness</x:v>
      </x:c>
      <x:c r="D8" s="12" t="str">
        <x:v>HIGH</x:v>
      </x:c>
      <x:c r="E8" s="12" t="str">
        <x:v>main.c; product.c; inventory.c</x:v>
      </x:c>
      <x:c r="F8" s="12" t="str">
        <x:v>Timeout + termination analysis</x:v>
      </x:c>
      <x:c r="G8" s="12" t="str">
        <x:v>Chưa kiểm chứng</x:v>
      </x:c>
      <x:c r="H8" s="12" t="str"/>
      <x:c r="I8" s="12" t="str"/>
      <x:c r="J8" s="12" t="str"/>
      <x:c r="K8" s="12" t="str">
        <x:v>Không kết luận nếu thiếu log và điều kiện áp dụng</x:v>
      </x:c>
    </x:row>
    <x:row r="9" ht="75" customHeight="1">
      <x:c r="A9" s="10" t="str">
        <x:v>REQ-8</x:v>
      </x:c>
      <x:c r="B9" s="10" t="str">
        <x:v>Với tệp hữu hạn và thao tác đọc trả về, quá trình đọc/phân tích dữ liệu sản phẩm phải kết thúc ở trạng thái chấp nhận hoặc từ chối có kiểm soát; không lặp vô hạn.</x:v>
      </x:c>
      <x:c r="C9" s="10" t="str">
        <x:v>liveness</x:v>
      </x:c>
      <x:c r="D9" s="10" t="str">
        <x:v>HIGH</x:v>
      </x:c>
      <x:c r="E9" s="10" t="str">
        <x:v>file_io.c</x:v>
      </x:c>
      <x:c r="F9" s="10" t="str">
        <x:v>Timeout + EOF/malformed corpus</x:v>
      </x:c>
      <x:c r="G9" s="10" t="str">
        <x:v>Chưa kiểm chứng</x:v>
      </x:c>
      <x:c r="H9" s="10" t="str"/>
      <x:c r="I9" s="10" t="str"/>
      <x:c r="J9" s="10" t="str"/>
      <x:c r="K9" s="10" t="str">
        <x:v>Không kết luận nếu thiếu log và điều kiện áp dụng</x:v>
      </x:c>
    </x:row>
    <x:row r="10" ht="75" customHeight="1">
      <x:c r="A10" s="12" t="str">
        <x:v>REQ-9</x:v>
      </x:c>
      <x:c r="B10" s="12" t="str">
        <x:v>Các trường chuỗi cố định của Product (id, name, category, unit) phải được kiểm tra độ dài trước sao chép, không ghi vượt buffer và luôn kết thúc bằng ký tự \0.</x:v>
      </x:c>
      <x:c r="C10" s="12" t="str">
        <x:v>memory</x:v>
      </x:c>
      <x:c r="D10" s="12" t="str">
        <x:v>HIGH</x:v>
      </x:c>
      <x:c r="E10" s="12" t="str">
        <x:v>product.c; utils.c; validation.c</x:v>
      </x:c>
      <x:c r="F10" s="12" t="str">
        <x:v>ASan + string boundary cases</x:v>
      </x:c>
      <x:c r="G10" s="12" t="str">
        <x:v>Chưa kiểm chứng</x:v>
      </x:c>
      <x:c r="H10" s="12" t="str"/>
      <x:c r="I10" s="12" t="str"/>
      <x:c r="J10" s="12" t="str"/>
      <x:c r="K10" s="12" t="str">
        <x:v>Không kết luận nếu thiếu log và điều kiện áp dụng</x:v>
      </x:c>
    </x:row>
    <x:row r="11" ht="75" customHeight="1">
      <x:c r="A11" s="10" t="str">
        <x:v>REQ-10</x:v>
      </x:c>
      <x:c r="B11" s="10" t="str">
        <x:v>Input bàn phím và dòng tệp vượt kích thước buffer phải được tiêu thụ/từ chối có kiểm soát mà không phát sinh đọc/ghi ngoài vùng nhớ hợp lệ.</x:v>
      </x:c>
      <x:c r="C11" s="10" t="str">
        <x:v>memory</x:v>
      </x:c>
      <x:c r="D11" s="10" t="str">
        <x:v>HIGH</x:v>
      </x:c>
      <x:c r="E11" s="10" t="str">
        <x:v>main.c; file_io.c</x:v>
      </x:c>
      <x:c r="F11" s="10" t="str">
        <x:v>ASan + malformed line/input</x:v>
      </x:c>
      <x:c r="G11" s="10" t="str">
        <x:v>Chưa kiểm chứng</x:v>
      </x:c>
      <x:c r="H11" s="10" t="str"/>
      <x:c r="I11" s="10" t="str"/>
      <x:c r="J11" s="10" t="str"/>
      <x:c r="K11" s="10" t="str">
        <x:v>Không kết luận nếu thiếu log và điều kiện áp dụng</x:v>
      </x:c>
    </x:row>
    <x:row r="12" ht="75" customHeight="1">
      <x:c r="A12" s="12" t="str">
        <x:v>REQ-11</x:v>
      </x:c>
      <x:c r="B12" s="12" t="str">
        <x:v>Allocation động do ProductList/Inventory sở hữu phải có vòng đời rõ ràng; không làm mất con trỏ sở hữu còn sống và phải giải phóng ở thời điểm kết thúc vòng đời.</x:v>
      </x:c>
      <x:c r="C12" s="12" t="str">
        <x:v>memory</x:v>
      </x:c>
      <x:c r="D12" s="12" t="str">
        <x:v>HIGH</x:v>
      </x:c>
      <x:c r="E12" s="12" t="str">
        <x:v>product.c; inventory.c</x:v>
      </x:c>
      <x:c r="F12" s="12" t="str">
        <x:v>LSan + lifecycle trace</x:v>
      </x:c>
      <x:c r="G12" s="12" t="str">
        <x:v>Chưa kiểm chứng</x:v>
      </x:c>
      <x:c r="H12" s="12" t="str"/>
      <x:c r="I12" s="12" t="str"/>
      <x:c r="J12" s="12" t="str"/>
      <x:c r="K12" s="12" t="str">
        <x:v>Không kết luận nếu thiếu log và điều kiện áp dụng</x:v>
      </x:c>
    </x:row>
    <x:row r="13" ht="75" customHeight="1">
      <x:c r="A13" s="10" t="str">
        <x:v>REQ-12</x:v>
      </x:c>
      <x:c r="B13" s="10" t="str">
        <x:v>Khi realloc thất bại, allocation cũ phải được giữ nguyên quyền sở hữu; khi thành công, con trỏ sở hữu và capacity phải cập nhật đúng vùng nhớ mới.</x:v>
      </x:c>
      <x:c r="C13" s="10" t="str">
        <x:v>memory</x:v>
      </x:c>
      <x:c r="D13" s="10" t="str">
        <x:v>HIGH</x:v>
      </x:c>
      <x:c r="E13" s="10" t="str">
        <x:v>product.c; inventory.c</x:v>
      </x:c>
      <x:c r="F13" s="10" t="str">
        <x:v>Allocation-failure injection + ASan</x:v>
      </x:c>
      <x:c r="G13" s="10" t="str">
        <x:v>Chưa kiểm chứng</x:v>
      </x:c>
      <x:c r="H13" s="10" t="str"/>
      <x:c r="I13" s="10" t="str"/>
      <x:c r="J13" s="10" t="str"/>
      <x:c r="K13" s="10" t="str">
        <x:v>Không kết luận nếu thiếu log và điều kiện áp dụng</x:v>
      </x:c>
    </x:row>
    <x:row r="14" ht="75" customHeight="1">
      <x:c r="A14" s="12" t="str">
        <x:v>REQ-13</x:v>
      </x:c>
      <x:c r="B14" s="12" t="str">
        <x:v>Một allocation chỉ được free tối đa một lần; cleanup phải cập nhật trạng thái/con trỏ để ngăn double-free khi gọi lại.</x:v>
      </x:c>
      <x:c r="C14" s="12" t="str">
        <x:v>memory</x:v>
      </x:c>
      <x:c r="D14" s="12" t="str">
        <x:v>HIGH</x:v>
      </x:c>
      <x:c r="E14" s="12" t="str">
        <x:v>product.c; inventory.c</x:v>
      </x:c>
      <x:c r="F14" s="12" t="str">
        <x:v>ASan + repeated free harness</x:v>
      </x:c>
      <x:c r="G14" s="12" t="str">
        <x:v>Chưa kiểm chứng</x:v>
      </x:c>
      <x:c r="H14" s="12" t="str"/>
      <x:c r="I14" s="12" t="str"/>
      <x:c r="J14" s="12" t="str"/>
      <x:c r="K14" s="12" t="str">
        <x:v>Không kết luận nếu thiếu log và điều kiện áp dụng</x:v>
      </x:c>
    </x:row>
    <x:row r="15" ht="75" customHeight="1">
      <x:c r="A15" s="10" t="str">
        <x:v>REQ-14</x:v>
      </x:c>
      <x:c r="B15" s="10" t="str">
        <x:v>Không được dereference con trỏ Product/vùng nhớ ProductList sau free hoặc sau khi realloc làm con trỏ cũ mất hiệu lực.</x:v>
      </x:c>
      <x:c r="C15" s="10" t="str">
        <x:v>memory</x:v>
      </x:c>
      <x:c r="D15" s="10" t="str">
        <x:v>HIGH</x:v>
      </x:c>
      <x:c r="E15" s="10" t="str">
        <x:v>product.c; inventory.c</x:v>
      </x:c>
      <x:c r="F15" s="10" t="str">
        <x:v>ASan + dangling pointer harness</x:v>
      </x:c>
      <x:c r="G15" s="10" t="str">
        <x:v>Chưa kiểm chứng</x:v>
      </x:c>
      <x:c r="H15" s="10" t="str"/>
      <x:c r="I15" s="10" t="str"/>
      <x:c r="J15" s="10" t="str"/>
      <x:c r="K15" s="10" t="str">
        <x:v>Không kết luận nếu thiếu log và điều kiện áp dụng</x:v>
      </x:c>
    </x:row>
    <x:row r="16" ht="75" customHeight="1">
      <x:c r="A16" s="12" t="str">
        <x:v>REQ-15</x:v>
      </x:c>
      <x:c r="B16" s="12" t="str">
        <x:v>API ProductList/Inventory phải kiểm tra con trỏ NULL theo hợp đồng hàm trước khi dereference đối tượng hoặc buffer vào/ra.</x:v>
      </x:c>
      <x:c r="C16" s="12" t="str">
        <x:v>memory</x:v>
      </x:c>
      <x:c r="D16" s="12" t="str">
        <x:v>HIGH</x:v>
      </x:c>
      <x:c r="E16" s="12" t="str">
        <x:v>product.c; inventory.c; file_io.c</x:v>
      </x:c>
      <x:c r="F16" s="12" t="str">
        <x:v>NULL harness + ASan</x:v>
      </x:c>
      <x:c r="G16" s="12" t="str">
        <x:v>Chưa kiểm chứng</x:v>
      </x:c>
      <x:c r="H16" s="12" t="str"/>
      <x:c r="I16" s="12" t="str"/>
      <x:c r="J16" s="12" t="str"/>
      <x:c r="K16" s="12" t="str">
        <x:v>Không kết luận nếu thiếu log và điều kiện áp dụng</x:v>
      </x:c>
    </x:row>
    <x:row r="17" ht="75" customHeight="1">
      <x:c r="A17" s="10" t="str">
        <x:v>REQ-16</x:v>
      </x:c>
      <x:c r="B17" s="10" t="str">
        <x:v>Mảng tokens, results, summaries và vùng nhớ dùng với memmove phải kiểm soát số phần tử, số byte, giới hạn nguồn/đích; không truy cập ngoài vùng nhớ đã cấp phát.</x:v>
      </x:c>
      <x:c r="C17" s="10" t="str">
        <x:v>memory</x:v>
      </x:c>
      <x:c r="D17" s="10" t="str">
        <x:v>HIGH</x:v>
      </x:c>
      <x:c r="E17" s="10" t="str">
        <x:v>file_io.c; product.c; report.c</x:v>
      </x:c>
      <x:c r="F17" s="10" t="str">
        <x:v>ASan + malformed corpus</x:v>
      </x:c>
      <x:c r="G17" s="10" t="str">
        <x:v>Chưa kiểm chứng</x:v>
      </x:c>
      <x:c r="H17" s="10" t="str"/>
      <x:c r="I17" s="10" t="str"/>
      <x:c r="J17" s="10" t="str"/>
      <x:c r="K17" s="10" t="str">
        <x:v>Không kết luận nếu thiếu log và điều kiện áp dụng</x:v>
      </x:c>
    </x:row>
    <x:row r="18" ht="75" customHeight="1">
      <x:c r="A18" s="12" t="str">
        <x:v>REQ-17</x:v>
      </x:c>
      <x:c r="B18" s="12" t="str">
        <x:v>Parser phải chấp nhận đúng định dạng 6 trường hoặc định dạng tương thích 4 trường; các dòng sai số trường/độ dài/định dạng phải bị từ chối mà không gây hỏng bộ nhớ Inventory.</x:v>
      </x:c>
      <x:c r="C18" s="12" t="str">
        <x:v>functional</x:v>
      </x:c>
      <x:c r="D18" s="12" t="str">
        <x:v>HIGH</x:v>
      </x:c>
      <x:c r="E18" s="12" t="str">
        <x:v>file_io.c</x:v>
      </x:c>
      <x:c r="F18" s="12" t="str">
        <x:v>Round-trip + parser malformed tests</x:v>
      </x:c>
      <x:c r="G18" s="12" t="str">
        <x:v>Chưa kiểm chứng</x:v>
      </x:c>
      <x:c r="H18" s="12" t="str"/>
      <x:c r="I18" s="12" t="str"/>
      <x:c r="J18" s="12" t="str"/>
      <x:c r="K18" s="12" t="str">
        <x:v>Không kết luận nếu thiếu log và điều kiện áp dụng</x:v>
      </x:c>
    </x:row>
    <x:row r="19" ht="75" customHeight="1">
      <x:c r="A19" s="10" t="str">
        <x:v>REQ-18</x:v>
      </x:c>
      <x:c r="B19" s="10" t="str">
        <x:v>Quantity/price không hợp lệ, vượt miền số hoặc không hữu hạn (NaN/Infinity) phải bị từ chối trước cập nhật kho và trước phép tính báo cáo có liên quan.</x:v>
      </x:c>
      <x:c r="C19" s="10" t="str">
        <x:v>functional</x:v>
      </x:c>
      <x:c r="D19" s="10" t="str">
        <x:v>HIGH</x:v>
      </x:c>
      <x:c r="E19" s="10" t="str">
        <x:v>file_io.c; validation.c; report.c</x:v>
      </x:c>
      <x:c r="F19" s="10" t="str">
        <x:v>Boundary numeric + UBSan</x:v>
      </x:c>
      <x:c r="G19" s="10" t="str">
        <x:v>Chưa kiểm chứng</x:v>
      </x:c>
      <x:c r="H19" s="10" t="str"/>
      <x:c r="I19" s="10" t="str"/>
      <x:c r="J19" s="10" t="str"/>
      <x:c r="K19" s="10" t="str">
        <x:v>Không kết luận nếu thiếu log và điều kiện áp dụng</x:v>
      </x:c>
    </x:row>
  </x:sheetData>
  <x:dataValidations count="1">
    <x:dataValidation type="list" sqref="G2:G19">
      <x:formula1>"Chưa kiểm chứng,VIOLATED,VERIFIED trong mô hình,NOT DETECTED,INCONCLUSIVE,NOT APPLICABLE"</x:formula1>
    </x:dataValidation>
  </x:dataValidations>
  <x:pageMargins left="0.7" right="0.7" top="0.75" bottom="0.75" header="0.3" footer="0.3"/>
  <x:tableParts count="1">
    <x:tablePart xmlns:r="http://schemas.openxmlformats.org/officeDocument/2006/relationships" r:id="R7a7db3113197464e"/>
  </x:tableParts>
</x:worksheet>
</file>

<file path=xl/worksheets/sheet3.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6" hidden="0" customWidth="1"/>
    <x:col min="2" max="2" width="25" hidden="0" customWidth="1"/>
    <x:col min="3" max="3" width="43" hidden="0" customWidth="1"/>
    <x:col min="4" max="4" width="48" hidden="0" customWidth="1"/>
    <x:col min="5" max="5" width="67" hidden="0" customWidth="1"/>
    <x:col min="6" max="6" width="52" hidden="0" customWidth="1"/>
    <x:col min="7" max="7" width="12" hidden="0" customWidth="1"/>
    <x:col min="8" max="8" width="22" hidden="0" customWidth="1"/>
    <x:col min="9" max="9" width="38" hidden="0" customWidth="1"/>
    <x:col min="10" max="10" width="32" hidden="0" customWidth="1"/>
    <x:col min="11" max="11" width="35" hidden="0" customWidth="1"/>
    <x:col min="12" max="12" width="22" hidden="0" customWidth="1"/>
    <x:col min="13" max="13" width="29" hidden="0" customWidth="1"/>
  </x:cols>
  <x:sheetData>
    <x:row r="1" ht="36" customHeight="1">
      <x:c r="A1" s="5" t="str">
        <x:v>TC ID</x:v>
      </x:c>
      <x:c r="B1" s="5" t="str">
        <x:v>REQ liên quan</x:v>
      </x:c>
      <x:c r="C1" s="5" t="str">
        <x:v>Tên testcase</x:v>
      </x:c>
      <x:c r="D1" s="5" t="str">
        <x:v>Tiền điều kiện</x:v>
      </x:c>
      <x:c r="E1" s="5" t="str">
        <x:v>Các bước</x:v>
      </x:c>
      <x:c r="F1" s="5" t="str">
        <x:v>Kỳ vọng</x:v>
      </x:c>
      <x:c r="G1" s="5" t="str">
        <x:v>Ưu tiên</x:v>
      </x:c>
      <x:c r="H1" s="5" t="str">
        <x:v>Trạng thái thực tế</x:v>
      </x:c>
      <x:c r="I1" s="5" t="str">
        <x:v>Đầu ra thực tế</x:v>
      </x:c>
      <x:c r="J1" s="5" t="str">
        <x:v>Tool / config</x:v>
      </x:c>
      <x:c r="K1" s="5" t="str">
        <x:v>Evidence path</x:v>
      </x:c>
      <x:c r="L1" s="5" t="str">
        <x:v>Commit SHA</x:v>
      </x:c>
      <x:c r="M1" s="5" t="str">
        <x:v>Phân loại kết quả</x:v>
      </x:c>
    </x:row>
    <x:row r="2" ht="72" customHeight="1">
      <x:c r="A2" s="12" t="str">
        <x:v>TC-1</x:v>
      </x:c>
      <x:c r="B2" s="12" t="str">
        <x:v>REQ-1</x:v>
      </x:c>
      <x:c r="C2" s="12" t="str">
        <x:v>Kiểm chứng bất biến ProductList</x:v>
      </x:c>
      <x:c r="D2" s="12" t="str">
        <x:v>ProductList rỗng, đang dùng, sau free</x:v>
      </x:c>
      <x:c r="E2" s="12" t="str">
        <x:v>Kiểm tra count &lt;= capacity và items != NULL khi count &gt; 0; chạy với ASan và kiểm tra trạng thái.</x:v>
      </x:c>
      <x:c r="F2" s="12" t="str">
        <x:v>Bất biến giữ đúng trên các trạng thái hợp lệ; trạng thái bị cố tình làm sai bị phát hiện.</x:v>
      </x:c>
      <x:c r="G2" s="12" t="str">
        <x:v>HIGH</x:v>
      </x:c>
      <x:c r="H2" s="12" t="str">
        <x:v>Chưa chạy</x:v>
      </x:c>
      <x:c r="I2" s="12" t="str"/>
      <x:c r="J2" s="12" t="str"/>
      <x:c r="K2" s="12" t="str"/>
      <x:c r="L2" s="12" t="str"/>
      <x:c r="M2" s="12" t="str"/>
      <x:c r="N2" t="str"/>
    </x:row>
    <x:row r="3" ht="72" customHeight="1">
      <x:c r="A3" s="10" t="str">
        <x:v>TC-2</x:v>
      </x:c>
      <x:c r="B3" s="10" t="str">
        <x:v>REQ-2, CON-7</x:v>
      </x:c>
      <x:c r="C3" s="10" t="str">
        <x:v>Kiểm chứng tràn capacity * 2</x:v>
      </x:c>
      <x:c r="D3" s="10" t="str">
        <x:v>Các giá trị capacity bình thường và sát SIZE_MAX/2 trên ABI kiểm thử</x:v>
      </x:c>
      <x:c r="E3" s="10" t="str">
        <x:v>SMT + kiểm tra guard trước nhân capacity*2; kiểm tra source add_product.</x:v>
      </x:c>
      <x:c r="F3" s="10" t="str">
        <x:v>Trường hợp vượt giới hạn bị từ chối trước phép nhân, không phát sinh overflow.</x:v>
      </x:c>
      <x:c r="G3" s="10" t="str">
        <x:v>HIGH</x:v>
      </x:c>
      <x:c r="H3" s="10" t="str">
        <x:v>Chưa chạy</x:v>
      </x:c>
      <x:c r="I3" s="10" t="str"/>
      <x:c r="J3" s="10" t="str"/>
      <x:c r="K3" s="10" t="str"/>
      <x:c r="L3" s="10" t="str"/>
      <x:c r="M3" s="10" t="str"/>
      <x:c r="N3" t="str"/>
    </x:row>
    <x:row r="4" ht="72" customHeight="1">
      <x:c r="A4" s="12" t="str">
        <x:v>TC-3</x:v>
      </x:c>
      <x:c r="B4" s="12" t="str">
        <x:v>REQ-3, CON-8</x:v>
      </x:c>
      <x:c r="C4" s="12" t="str">
        <x:v>Kiểm chứng tràn kích thước realloc</x:v>
      </x:c>
      <x:c r="D4" s="12" t="str">
        <x:v>new_cap và sizeof(Product) tại biên size_t</x:v>
      </x:c>
      <x:c r="E4" s="12" t="str">
        <x:v>SMT biểu thức new_cap * sizeof(Product); kiểm tra guard trong add_product.</x:v>
      </x:c>
      <x:c r="F4" s="12" t="str">
        <x:v>Không gọi realloc với kích thước đã bị tràn số.</x:v>
      </x:c>
      <x:c r="G4" s="12" t="str">
        <x:v>HIGH</x:v>
      </x:c>
      <x:c r="H4" s="12" t="str">
        <x:v>Chưa chạy</x:v>
      </x:c>
      <x:c r="I4" s="12" t="str"/>
      <x:c r="J4" s="12" t="str"/>
      <x:c r="K4" s="12" t="str"/>
      <x:c r="L4" s="12" t="str"/>
      <x:c r="M4" s="12" t="str"/>
      <x:c r="N4" t="str"/>
    </x:row>
    <x:row r="5" ht="72" customHeight="1">
      <x:c r="A5" s="10" t="str">
        <x:v>TC-4</x:v>
      </x:c>
      <x:c r="B5" s="10" t="str">
        <x:v>REQ-4, CON-11</x:v>
      </x:c>
      <x:c r="C5" s="10" t="str">
        <x:v>Import kho không overflow</x:v>
      </x:c>
      <x:c r="D5" s="10" t="str">
        <x:v>Tồn kho 0, INT_MAX-1, INT_MAX; số nhập 1,2</x:v>
      </x:c>
      <x:c r="E5" s="10" t="str">
        <x:v>Gọi check_addition_overflow/import_stock, đối chiếu giá trị trước/sau.</x:v>
      </x:c>
      <x:c r="F5" s="10" t="str">
        <x:v>Giá trị hợp lệ cập nhật; vượt INT_MAX bị từ chối, tồn kho không đổi.</x:v>
      </x:c>
      <x:c r="G5" s="10" t="str">
        <x:v>HIGH</x:v>
      </x:c>
      <x:c r="H5" s="10" t="str">
        <x:v>Chưa chạy</x:v>
      </x:c>
      <x:c r="I5" s="10" t="str"/>
      <x:c r="J5" s="10" t="str"/>
      <x:c r="K5" s="10" t="str"/>
      <x:c r="L5" s="10" t="str"/>
      <x:c r="M5" s="10" t="str"/>
      <x:c r="N5" t="str"/>
    </x:row>
    <x:row r="6" ht="72" customHeight="1">
      <x:c r="A6" s="12" t="str">
        <x:v>TC-5</x:v>
      </x:c>
      <x:c r="B6" s="12" t="str">
        <x:v>REQ-5</x:v>
      </x:c>
      <x:c r="C6" s="12" t="str">
        <x:v>Export kho không âm</x:v>
      </x:c>
      <x:c r="D6" s="12" t="str">
        <x:v>current_stock=0/10; export_quantity=0/1/10/11</x:v>
      </x:c>
      <x:c r="E6" s="12" t="str">
        <x:v>Gọi validate_export_quantity và export_stock ở các trường hợp biên.</x:v>
      </x:c>
      <x:c r="F6" s="12" t="str">
        <x:v>Số lượng xuất &lt;=0 hoặc &gt; tồn kho bị từ chối trước khi trừ.</x:v>
      </x:c>
      <x:c r="G6" s="12" t="str">
        <x:v>HIGH</x:v>
      </x:c>
      <x:c r="H6" s="12" t="str">
        <x:v>Chưa chạy</x:v>
      </x:c>
      <x:c r="I6" s="12" t="str"/>
      <x:c r="J6" s="12" t="str"/>
      <x:c r="K6" s="12" t="str"/>
      <x:c r="L6" s="12" t="str"/>
      <x:c r="M6" s="12" t="str"/>
      <x:c r="N6" t="str"/>
    </x:row>
    <x:row r="7" ht="72" customHeight="1">
      <x:c r="A7" s="10" t="str">
        <x:v>TC-6</x:v>
      </x:c>
      <x:c r="B7" s="10" t="str">
        <x:v>REQ-6, REQ-16</x:v>
      </x:c>
      <x:c r="C7" s="10" t="str">
        <x:v>Mảng ProductList và buffer phụ trợ</x:v>
      </x:c>
      <x:c r="D7" s="10" t="str">
        <x:v>Danh sách rỗng/đầy; result cap=0/1; summaries cap=0/32</x:v>
      </x:c>
      <x:c r="E7" s="10" t="str">
        <x:v>Chạy delete/search/report/parser với ASan; kiểm tra giới hạn logic.</x:v>
      </x:c>
      <x:c r="F7" s="10" t="str">
        <x:v>Không có truy cập ngoài mảng hoặc đọc/ghi dữ liệu không hợp lệ.</x:v>
      </x:c>
      <x:c r="G7" s="10" t="str">
        <x:v>HIGH</x:v>
      </x:c>
      <x:c r="H7" s="10" t="str">
        <x:v>Chưa chạy</x:v>
      </x:c>
      <x:c r="I7" s="10" t="str"/>
      <x:c r="J7" s="10" t="str"/>
      <x:c r="K7" s="10" t="str"/>
      <x:c r="L7" s="10" t="str"/>
      <x:c r="M7" s="10" t="str"/>
      <x:c r="N7" t="str"/>
    </x:row>
    <x:row r="8" ht="72" customHeight="1">
      <x:c r="A8" s="12" t="str">
        <x:v>TC-7</x:v>
      </x:c>
      <x:c r="B8" s="12" t="str">
        <x:v>REQ-7</x:v>
      </x:c>
      <x:c r="C8" s="12" t="str">
        <x:v>Liveness thao tác kho</x:v>
      </x:c>
      <x:c r="D8" s="12" t="str">
        <x:v>Mô hình có product_op_processing và nhánh từ chối</x:v>
      </x:c>
      <x:c r="E8" s="12" t="str">
        <x:v>Model-check AG(product_op_processing -&gt; AF(product_op_done | product_op_rejected)).</x:v>
      </x:c>
      <x:c r="F8" s="12" t="str">
        <x:v>Mọi nhánh processing tới done/rejected; giả định hữu hạn được ghi rõ.</x:v>
      </x:c>
      <x:c r="G8" s="12" t="str">
        <x:v>HIGH</x:v>
      </x:c>
      <x:c r="H8" s="12" t="str">
        <x:v>Chưa chạy</x:v>
      </x:c>
      <x:c r="I8" s="12" t="str"/>
      <x:c r="J8" s="12" t="str"/>
      <x:c r="K8" s="12" t="str"/>
      <x:c r="L8" s="12" t="str"/>
      <x:c r="M8" s="12" t="str"/>
      <x:c r="N8" t="str"/>
    </x:row>
    <x:row r="9" ht="72" customHeight="1">
      <x:c r="A9" s="10" t="str">
        <x:v>TC-8</x:v>
      </x:c>
      <x:c r="B9" s="10" t="str">
        <x:v>REQ-8</x:v>
      </x:c>
      <x:c r="C9" s="10" t="str">
        <x:v>Liveness đọc tệp/parser</x:v>
      </x:c>
      <x:c r="D9" s="10" t="str">
        <x:v>Mô hình có file_parsing, nhánh dữ liệu sai</x:v>
      </x:c>
      <x:c r="E9" s="10" t="str">
        <x:v>Model-check AG(file_parsing -&gt; AF(file_loaded | file_rejected)).</x:v>
      </x:c>
      <x:c r="F9" s="10" t="str">
        <x:v>Mọi nhánh file_parsing tới loaded/rejected trong mô hình trừu tượng.</x:v>
      </x:c>
      <x:c r="G9" s="10" t="str">
        <x:v>HIGH</x:v>
      </x:c>
      <x:c r="H9" s="10" t="str">
        <x:v>Chưa chạy</x:v>
      </x:c>
      <x:c r="I9" s="10" t="str"/>
      <x:c r="J9" s="10" t="str"/>
      <x:c r="K9" s="10" t="str"/>
      <x:c r="L9" s="10" t="str"/>
      <x:c r="M9" s="10" t="str"/>
      <x:c r="N9" t="str"/>
    </x:row>
    <x:row r="10" ht="72" customHeight="1">
      <x:c r="A10" s="12" t="str">
        <x:v>TC-9</x:v>
      </x:c>
      <x:c r="B10" s="12" t="str">
        <x:v>REQ-9, CON-2, CON-3, CON-4, CON-5</x:v>
      </x:c>
      <x:c r="C10" s="12" t="str">
        <x:v>Chuỗi Product tại biên buffer</x:v>
      </x:c>
      <x:c r="D10" s="12" t="str">
        <x:v>Độ dài B-1/B/B+1 cho id, name, category, unit</x:v>
      </x:c>
      <x:c r="E10" s="12" t="str">
        <x:v>Kiểm thử validation và sao chép chuỗi, bật ASan.</x:v>
      </x:c>
      <x:c r="F10" s="12" t="str">
        <x:v>Chuỗi hợp lệ kết thúc \0; chuỗi quá dài bị từ chối, không vượt buffer.</x:v>
      </x:c>
      <x:c r="G10" s="12" t="str">
        <x:v>HIGH</x:v>
      </x:c>
      <x:c r="H10" s="12" t="str">
        <x:v>Chưa chạy</x:v>
      </x:c>
      <x:c r="I10" s="12" t="str"/>
      <x:c r="J10" s="12" t="str"/>
      <x:c r="K10" s="12" t="str"/>
      <x:c r="L10" s="12" t="str"/>
      <x:c r="M10" s="12" t="str"/>
      <x:c r="N10" t="str"/>
    </x:row>
    <x:row r="11" ht="72" customHeight="1">
      <x:c r="A11" s="10" t="str">
        <x:v>TC-10</x:v>
      </x:c>
      <x:c r="B11" s="10" t="str">
        <x:v>REQ-10, CON-9</x:v>
      </x:c>
      <x:c r="C11" s="10" t="str">
        <x:v>Dòng nhập quá dài</x:v>
      </x:c>
      <x:c r="D11" s="10" t="str">
        <x:v>Input console và dòng tệp 511/512/513 ký tự</x:v>
      </x:c>
      <x:c r="E11" s="10" t="str">
        <x:v>Chạy safe_read_line/load_products_from_file với ASan; kiểm tra xử lý dòng dư.</x:v>
      </x:c>
      <x:c r="F11" s="10" t="str">
        <x:v>Không tràn bộ đệm; dữ liệu quá dài bị xử lý/từ chối rõ ràng.</x:v>
      </x:c>
      <x:c r="G11" s="10" t="str">
        <x:v>HIGH</x:v>
      </x:c>
      <x:c r="H11" s="10" t="str">
        <x:v>Chưa chạy</x:v>
      </x:c>
      <x:c r="I11" s="10" t="str"/>
      <x:c r="J11" s="10" t="str"/>
      <x:c r="K11" s="10" t="str"/>
      <x:c r="L11" s="10" t="str"/>
      <x:c r="M11" s="10" t="str"/>
      <x:c r="N11" t="str"/>
    </x:row>
    <x:row r="12" ht="72" customHeight="1">
      <x:c r="A12" s="12" t="str">
        <x:v>TC-11</x:v>
      </x:c>
      <x:c r="B12" s="12" t="str">
        <x:v>REQ-11</x:v>
      </x:c>
      <x:c r="C12" s="12" t="str">
        <x:v>Vòng đời allocation</x:v>
      </x:c>
      <x:c r="D12" s="12" t="str">
        <x:v>Kịch bản init -&gt; add -&gt; free và lỗi alloc</x:v>
      </x:c>
      <x:c r="E12" s="12" t="str">
        <x:v>Theo dõi owner, chạy ASan/LSan sau khi kết thúc.</x:v>
      </x:c>
      <x:c r="F12" s="12" t="str">
        <x:v>0 leak ở đường chạy hợp lệ; quyền sở hữu không bị thất lạc.</x:v>
      </x:c>
      <x:c r="G12" s="12" t="str">
        <x:v>HIGH</x:v>
      </x:c>
      <x:c r="H12" s="12" t="str">
        <x:v>Chưa chạy</x:v>
      </x:c>
      <x:c r="I12" s="12" t="str"/>
      <x:c r="J12" s="12" t="str"/>
      <x:c r="K12" s="12" t="str"/>
      <x:c r="L12" s="12" t="str"/>
      <x:c r="M12" s="12" t="str"/>
      <x:c r="N12" t="str"/>
    </x:row>
    <x:row r="13" ht="72" customHeight="1">
      <x:c r="A13" s="10" t="str">
        <x:v>TC-12</x:v>
      </x:c>
      <x:c r="B13" s="10" t="str">
        <x:v>REQ-12</x:v>
      </x:c>
      <x:c r="C13" s="10" t="str">
        <x:v>realloc thành công/thất bại</x:v>
      </x:c>
      <x:c r="D13" s="10" t="str">
        <x:v>Harness mô phỏng realloc trả NULL và trả vùng mới</x:v>
      </x:c>
      <x:c r="E13" s="10" t="str">
        <x:v>Quan sát owner pointer trước/sau; chạy ASan/LSan.</x:v>
      </x:c>
      <x:c r="F13" s="10" t="str">
        <x:v>Lỗi realloc giữ block cũ; thành công cập nhật owner và capacity.</x:v>
      </x:c>
      <x:c r="G13" s="10" t="str">
        <x:v>HIGH</x:v>
      </x:c>
      <x:c r="H13" s="10" t="str">
        <x:v>Chưa chạy</x:v>
      </x:c>
      <x:c r="I13" s="10" t="str"/>
      <x:c r="J13" s="10" t="str"/>
      <x:c r="K13" s="10" t="str"/>
      <x:c r="L13" s="10" t="str"/>
      <x:c r="M13" s="10" t="str"/>
      <x:c r="N13" t="str"/>
    </x:row>
    <x:row r="14" ht="72" customHeight="1">
      <x:c r="A14" s="12" t="str">
        <x:v>TC-13</x:v>
      </x:c>
      <x:c r="B14" s="12" t="str">
        <x:v>REQ-13</x:v>
      </x:c>
      <x:c r="C14" s="12" t="str">
        <x:v>Ngăn double-free</x:v>
      </x:c>
      <x:c r="D14" s="12" t="str">
        <x:v>Gọi free lần 1, sau đó gọi lại</x:v>
      </x:c>
      <x:c r="E14" s="12" t="str">
        <x:v>Kiểm tra items=NULL, count=capacity=0; chạy ASan.</x:v>
      </x:c>
      <x:c r="F14" s="12" t="str">
        <x:v>Không xảy ra double-free; trạng thái cleanup an toàn khi gọi lại.</x:v>
      </x:c>
      <x:c r="G14" s="12" t="str">
        <x:v>HIGH</x:v>
      </x:c>
      <x:c r="H14" s="12" t="str">
        <x:v>Chưa chạy</x:v>
      </x:c>
      <x:c r="I14" s="12" t="str"/>
      <x:c r="J14" s="12" t="str"/>
      <x:c r="K14" s="12" t="str"/>
      <x:c r="L14" s="12" t="str"/>
      <x:c r="M14" s="12" t="str"/>
      <x:c r="N14" t="str"/>
    </x:row>
    <x:row r="15" ht="72" customHeight="1">
      <x:c r="A15" s="10" t="str">
        <x:v>TC-14</x:v>
      </x:c>
      <x:c r="B15" s="10" t="str">
        <x:v>REQ-14</x:v>
      </x:c>
      <x:c r="C15" s="10" t="str">
        <x:v>Không dereference con trỏ lỗi thời</x:v>
      </x:c>
      <x:c r="D15" s="10" t="str">
        <x:v>Lấy Product*, sau đó free/realloc làm mất hiệu lực</x:v>
      </x:c>
      <x:c r="E15" s="10" t="str">
        <x:v>Tạo harness hợp lệ và lỗi có chủ đích; kiểm tra ASan.</x:v>
      </x:c>
      <x:c r="F15" s="10" t="str">
        <x:v>Đường chạy đúng không dùng pointer cũ; harness lỗi được ASan phát hiện.</x:v>
      </x:c>
      <x:c r="G15" s="10" t="str">
        <x:v>HIGH</x:v>
      </x:c>
      <x:c r="H15" s="10" t="str">
        <x:v>Chưa chạy</x:v>
      </x:c>
      <x:c r="I15" s="10" t="str"/>
      <x:c r="J15" s="10" t="str"/>
      <x:c r="K15" s="10" t="str"/>
      <x:c r="L15" s="10" t="str"/>
      <x:c r="M15" s="10" t="str"/>
      <x:c r="N15" t="str"/>
    </x:row>
    <x:row r="16" ht="72" customHeight="1">
      <x:c r="A16" s="12" t="str">
        <x:v>TC-15</x:v>
      </x:c>
      <x:c r="B16" s="12" t="str">
        <x:v>REQ-15</x:v>
      </x:c>
      <x:c r="C16" s="12" t="str">
        <x:v>API xử lý NULL an toàn</x:v>
      </x:c>
      <x:c r="D16" s="12" t="str">
        <x:v>Con trỏ đầu vào/đầu ra NULL theo hợp đồng từng API</x:v>
      </x:c>
      <x:c r="E16" s="12" t="str">
        <x:v>Gọi từng API public với NULL, đối chiếu status/NULL.</x:v>
      </x:c>
      <x:c r="F16" s="12" t="str">
        <x:v>Không dereference NULL, không crash ngoài hợp đồng.</x:v>
      </x:c>
      <x:c r="G16" s="12" t="str">
        <x:v>HIGH</x:v>
      </x:c>
      <x:c r="H16" s="12" t="str">
        <x:v>Chưa chạy</x:v>
      </x:c>
      <x:c r="I16" s="12" t="str"/>
      <x:c r="J16" s="12" t="str"/>
      <x:c r="K16" s="12" t="str"/>
      <x:c r="L16" s="12" t="str"/>
      <x:c r="M16" s="12" t="str"/>
      <x:c r="N16" t="str"/>
    </x:row>
    <x:row r="17" ht="72" customHeight="1">
      <x:c r="A17" s="10" t="str">
        <x:v>TC-16</x:v>
      </x:c>
      <x:c r="B17" s="10" t="str">
        <x:v>REQ-17, CON-10</x:v>
      </x:c>
      <x:c r="C17" s="10" t="str">
        <x:v>Dòng file sai định dạng</x:v>
      </x:c>
      <x:c r="D17" s="10" t="str">
        <x:v>Tệp có 4 trường hợp lệ, 6 trường hợp lệ, 5/7/8 trường, chuỗi dài</x:v>
      </x:c>
      <x:c r="E17" s="10" t="str">
        <x:v>Chạy load_products_from_file/parse_product_line gián tiếp với ASan; đối chiếu sản phẩm hợp lệ.</x:v>
      </x:c>
      <x:c r="F17" s="10" t="str">
        <x:v>Định dạng 4/6 được chấp nhận; định dạng sai bị từ chối an toàn; không yêu cầu rollback toàn tệp nếu chưa có contract.</x:v>
      </x:c>
      <x:c r="G17" s="10" t="str">
        <x:v>HIGH</x:v>
      </x:c>
      <x:c r="H17" s="10" t="str">
        <x:v>Chưa chạy</x:v>
      </x:c>
      <x:c r="I17" s="10" t="str"/>
      <x:c r="J17" s="10" t="str"/>
      <x:c r="K17" s="10" t="str"/>
      <x:c r="L17" s="10" t="str"/>
      <x:c r="M17" s="10" t="str"/>
      <x:c r="N17" t="str"/>
    </x:row>
    <x:row r="18" ht="72" customHeight="1">
      <x:c r="A18" s="12" t="str">
        <x:v>TC-17</x:v>
      </x:c>
      <x:c r="B18" s="12" t="str">
        <x:v>REQ-18</x:v>
      </x:c>
      <x:c r="C18" s="12" t="str">
        <x:v>Kiểm chứng số không hợp lệ</x:v>
      </x:c>
      <x:c r="D18" s="12" t="str">
        <x:v>quantity âm/vượt INT_MAX; price âm/NaN/Infinity; chuỗi sai</x:v>
      </x:c>
      <x:c r="E18" s="12" t="str">
        <x:v>Kiểm thử validate_price, validate_quantity và parse_price; dùng UBSan khi phù hợp.</x:v>
      </x:c>
      <x:c r="F18" s="12" t="str">
        <x:v>Tất cả giá trị không hợp lệ/không hữu hạn bị từ chối trước cập nhật và thống kê.</x:v>
      </x:c>
      <x:c r="G18" s="12" t="str">
        <x:v>HIGH</x:v>
      </x:c>
      <x:c r="H18" s="12" t="str">
        <x:v>Chưa chạy</x:v>
      </x:c>
      <x:c r="I18" s="12" t="str"/>
      <x:c r="J18" s="12" t="str"/>
      <x:c r="K18" s="12" t="str"/>
      <x:c r="L18" s="12" t="str"/>
      <x:c r="M18" s="12" t="str"/>
      <x:c r="N18" t="str"/>
    </x:row>
    <x:row r="19" ht="72" customHeight="1">
      <x:c r="A19" s="10" t="str">
        <x:v>TC-18</x:v>
      </x:c>
      <x:c r="B19" s="10" t="str">
        <x:v>NFR-1, NFR-2, NFR-3, NFR-8</x:v>
      </x:c>
      <x:c r="C19" s="10" t="str">
        <x:v>Regression sanitizer</x:v>
      </x:c>
      <x:c r="D19" s="10" t="str">
        <x:v>Có finding được vá và bộ test hợp lệ/biên/bất thường</x:v>
      </x:c>
      <x:c r="E19" s="10" t="str">
        <x:v>Chạy ASan/LSan/UBSan trên bản sau vá, lưu log/bản build.</x:v>
      </x:c>
      <x:c r="F19" s="10" t="str">
        <x:v>Không có phát hiện sanitizer trên bộ kiểm thử; tất cả TC hồi quy liên quan PASS.</x:v>
      </x:c>
      <x:c r="G19" s="10" t="str">
        <x:v>HIGH</x:v>
      </x:c>
      <x:c r="H19" s="10" t="str">
        <x:v>Chưa chạy</x:v>
      </x:c>
      <x:c r="I19" s="10" t="str"/>
      <x:c r="J19" s="10" t="str"/>
      <x:c r="K19" s="10" t="str"/>
      <x:c r="L19" s="10" t="str"/>
      <x:c r="M19" s="10" t="str"/>
      <x:c r="N19" t="str"/>
    </x:row>
    <x:row r="20" ht="72" customHeight="1">
      <x:c r="A20" s="12" t="str">
        <x:v>TC-19</x:v>
      </x:c>
      <x:c r="B20" s="12" t="str">
        <x:v>NFR-6, CON-1</x:v>
      </x:c>
      <x:c r="C20" s="12" t="str">
        <x:v>Build warnings C17</x:v>
      </x:c>
      <x:c r="D20" s="12" t="str">
        <x:v>GCC/Clang hỗ trợ C17 và cờ kiểm toán</x:v>
      </x:c>
      <x:c r="E20" s="12" t="str">
        <x:v>Biên dịch với -std=c17 -Wall -Wextra -Wpedantic -Wconversion.</x:v>
      </x:c>
      <x:c r="F20" s="12" t="str">
        <x:v>Ghi nhận và xử lý các warning mới ở module quan trọng.</x:v>
      </x:c>
      <x:c r="G20" s="12" t="str">
        <x:v>HIGH</x:v>
      </x:c>
      <x:c r="H20" s="12" t="str">
        <x:v>Chưa chạy</x:v>
      </x:c>
      <x:c r="I20" s="12" t="str"/>
      <x:c r="J20" s="12" t="str"/>
      <x:c r="K20" s="12" t="str"/>
      <x:c r="L20" s="12" t="str"/>
      <x:c r="M20" s="12" t="str"/>
      <x:c r="N20" t="str"/>
    </x:row>
    <x:row r="21" ht="72" customHeight="1">
      <x:c r="A21" s="10" t="str">
        <x:v>TC-20</x:v>
      </x:c>
      <x:c r="B21" s="10" t="str">
        <x:v>NFR-7, REQ-17</x:v>
      </x:c>
      <x:c r="C21" s="10" t="str">
        <x:v>Fuzz parser</x:v>
      </x:c>
      <x:c r="D21" s="10" t="str">
        <x:v>Harness parser có thể chạy dưới ASan</x:v>
      </x:c>
      <x:c r="E21" s="10" t="str">
        <x:v>Tạo &gt;=10000 input bất thường; chạy và lưu seed gây lỗi.</x:v>
      </x:c>
      <x:c r="F21" s="10" t="str">
        <x:v>Không crash/sanitizer finding chưa xử lý; seed lỗi được lưu để tái hiện.</x:v>
      </x:c>
      <x:c r="G21" s="10" t="str">
        <x:v>HIGH</x:v>
      </x:c>
      <x:c r="H21" s="10" t="str">
        <x:v>Chưa chạy</x:v>
      </x:c>
      <x:c r="I21" s="10" t="str"/>
      <x:c r="J21" s="10" t="str"/>
      <x:c r="K21" s="10" t="str"/>
      <x:c r="L21" s="10" t="str"/>
      <x:c r="M21" s="10" t="str"/>
      <x:c r="N21" t="str"/>
    </x:row>
    <x:row r="22" ht="72" customHeight="1">
      <x:c r="A22" s="12" t="str">
        <x:v>TC-21</x:v>
      </x:c>
      <x:c r="B22" s="12" t="str">
        <x:v>NFR-4, NFR-5, NFR-9</x:v>
      </x:c>
      <x:c r="C22" s="12" t="str">
        <x:v>Kiểm tra truy vết REQ</x:v>
      </x:c>
      <x:c r="D22" s="12" t="str">
        <x:v>Đặc tả và danh sách finding/test đã hoàn thiện</x:v>
      </x:c>
      <x:c r="E22" s="12" t="str">
        <x:v>Rà REQ -&gt; hàm C -&gt; TC -&gt; finding/CWE (nếu có).</x:v>
      </x:c>
      <x:c r="F22" s="12" t="str">
        <x:v>18 REQ có TC liên kết; finding có bằng chứng và nguồn gốc.</x:v>
      </x:c>
      <x:c r="G22" s="12" t="str">
        <x:v>HIGH</x:v>
      </x:c>
      <x:c r="H22" s="12" t="str">
        <x:v>Chưa chạy</x:v>
      </x:c>
      <x:c r="I22" s="12" t="str"/>
      <x:c r="J22" s="12" t="str"/>
      <x:c r="K22" s="12" t="str"/>
      <x:c r="L22" s="12" t="str"/>
      <x:c r="M22" s="12" t="str"/>
      <x:c r="N22" t="str"/>
    </x:row>
    <x:row r="23" ht="72" customHeight="1">
      <x:c r="A23" s="10" t="str">
        <x:v>TC-22</x:v>
      </x:c>
      <x:c r="B23" s="10" t="str">
        <x:v>NFR-10</x:v>
      </x:c>
      <x:c r="C23" s="10" t="str">
        <x:v>Kiểm tra Excel/pipeline</x:v>
      </x:c>
      <x:c r="D23" s="10" t="str">
        <x:v>Workbook đúng schema 10 sheet và có công cụ đọc tương ứng</x:v>
      </x:c>
      <x:c r="E23" s="10" t="str">
        <x:v>Mở file, soát dữ liệu, chạy parse_specification_excel và run_pipeline nếu có mã framework.</x:v>
      </x:c>
      <x:c r="F23" s="10" t="str">
        <x:v>Không lỗi cấu trúc Excel; trạng thái tương thích pipeline phải được xác minh bằng chạy thực tế.</x:v>
      </x:c>
      <x:c r="G23" s="10" t="str">
        <x:v>HIGH</x:v>
      </x:c>
      <x:c r="H23" s="10" t="str">
        <x:v>Chưa chạy</x:v>
      </x:c>
      <x:c r="I23" s="10" t="str"/>
      <x:c r="J23" s="10" t="str"/>
      <x:c r="K23" s="10" t="str"/>
      <x:c r="L23" s="10" t="str"/>
      <x:c r="M23" s="10" t="str"/>
      <x:c r="N23" t="str"/>
    </x:row>
  </x:sheetData>
  <x:dataValidations count="1">
    <x:dataValidation type="list" sqref="H2:H23">
      <x:formula1>"Chưa chạy,PASS,FAIL,ERROR,BLOCKED,NOT APPLICABLE"</x:formula1>
    </x:dataValidation>
  </x:dataValidations>
  <x:pageMargins left="0.7" right="0.7" top="0.75" bottom="0.75" header="0.3" footer="0.3"/>
  <x:tableParts count="1">
    <x:tablePart xmlns:r="http://schemas.openxmlformats.org/officeDocument/2006/relationships" r:id="R99ce7acd2556404b"/>
  </x:tableParts>
</x:worksheet>
</file>

<file path=xl/worksheets/sheet4.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2" hidden="0" customWidth="1"/>
    <x:col min="2" max="2" width="31" hidden="0" customWidth="1"/>
    <x:col min="3" max="3" width="32" hidden="0" customWidth="1"/>
    <x:col min="4" max="4" width="55" hidden="0" customWidth="1"/>
    <x:col min="5" max="5" width="32" hidden="0" customWidth="1"/>
    <x:col min="6" max="6" width="20" hidden="0" customWidth="1"/>
    <x:col min="7" max="7" width="24" hidden="0" customWidth="1"/>
    <x:col min="8" max="8" width="36" hidden="0" customWidth="1"/>
    <x:col min="9" max="9" width="22" hidden="0" customWidth="1"/>
  </x:cols>
  <x:sheetData>
    <x:row r="1" ht="36" customHeight="1">
      <x:c r="A1" s="5" t="str">
        <x:v>Mã</x:v>
      </x:c>
      <x:c r="B1" s="5" t="str">
        <x:v>Tài sản / Điểm vào</x:v>
      </x:c>
      <x:c r="C1" s="5" t="str">
        <x:v>Đường code</x:v>
      </x:c>
      <x:c r="D1" s="5" t="str">
        <x:v>Đầu vào rủi ro</x:v>
      </x:c>
      <x:c r="E1" s="5" t="str">
        <x:v>CWE nghi vấn</x:v>
      </x:c>
      <x:c r="F1" s="5" t="str">
        <x:v>Tác động dự kiến</x:v>
      </x:c>
      <x:c r="G1" s="5" t="str">
        <x:v>Likelihood thực tế</x:v>
      </x:c>
      <x:c r="H1" s="5" t="str">
        <x:v>Ưu tiên xác minh</x:v>
      </x:c>
      <x:c r="I1" s="5" t="str">
        <x:v>Trạng thái</x:v>
      </x:c>
    </x:row>
    <x:row r="2" ht="58" customHeight="1">
      <x:c r="A2" s="12" t="str">
        <x:v>R-01</x:v>
      </x:c>
      <x:c r="B2" s="12" t="str">
        <x:v>Tệp sản phẩm bên ngoài</x:v>
      </x:c>
      <x:c r="C2" s="12" t="str">
        <x:v>file_io.c / parse_product_line</x:v>
      </x:c>
      <x:c r="D2" s="12" t="str">
        <x:v>Số trường &gt; 8, dòng &gt; 512, chuỗi không kết thúc</x:v>
      </x:c>
      <x:c r="E2" s="12" t="str">
        <x:v>CWE-119/125/787 (chỉ gán sau xác minh)</x:v>
      </x:c>
      <x:c r="F2" s="12" t="str">
        <x:v>Cao</x:v>
      </x:c>
      <x:c r="G2" s="12" t="str">
        <x:v>Chưa chấm</x:v>
      </x:c>
      <x:c r="H2" s="12" t="str">
        <x:v>Ưu tiên parser fuzz + ASan</x:v>
      </x:c>
      <x:c r="I2" s="12" t="str">
        <x:v>Chưa kiểm chứng</x:v>
      </x:c>
    </x:row>
    <x:row r="3" ht="58" customHeight="1">
      <x:c r="A3" s="10" t="str">
        <x:v>R-02</x:v>
      </x:c>
      <x:c r="B3" s="10" t="str">
        <x:v>Vùng nhớ heap ProductList</x:v>
      </x:c>
      <x:c r="C3" s="10" t="str">
        <x:v>product.c / add_product</x:v>
      </x:c>
      <x:c r="D3" s="10" t="str">
        <x:v>capacity * 2; new_cap * sizeof(Product); realloc</x:v>
      </x:c>
      <x:c r="E3" s="10" t="str">
        <x:v>CWE-190/131 (đề xuất)</x:v>
      </x:c>
      <x:c r="F3" s="10" t="str">
        <x:v>Cao</x:v>
      </x:c>
      <x:c r="G3" s="10" t="str">
        <x:v>Chưa chấm</x:v>
      </x:c>
      <x:c r="H3" s="10" t="str">
        <x:v>SMT + rà soát guard</x:v>
      </x:c>
      <x:c r="I3" s="10" t="str">
        <x:v>Chưa kiểm chứng</x:v>
      </x:c>
    </x:row>
    <x:row r="4" ht="58" customHeight="1">
      <x:c r="A4" s="12" t="str">
        <x:v>R-03</x:v>
      </x:c>
      <x:c r="B4" s="12" t="str">
        <x:v>Tuổi thọ con trỏ</x:v>
      </x:c>
      <x:c r="C4" s="12" t="str">
        <x:v>product.c / inventory.c</x:v>
      </x:c>
      <x:c r="D4" s="12" t="str">
        <x:v>free, realloc, alias/dangling pointer</x:v>
      </x:c>
      <x:c r="E4" s="12" t="str">
        <x:v>CWE-415/416</x:v>
      </x:c>
      <x:c r="F4" s="12" t="str">
        <x:v>Cao</x:v>
      </x:c>
      <x:c r="G4" s="12" t="str">
        <x:v>Chưa chấm</x:v>
      </x:c>
      <x:c r="H4" s="12" t="str">
        <x:v>ASan harness + ownership map</x:v>
      </x:c>
      <x:c r="I4" s="12" t="str">
        <x:v>Chưa kiểm chứng</x:v>
      </x:c>
    </x:row>
    <x:row r="5" ht="58" customHeight="1">
      <x:c r="A5" s="10" t="str">
        <x:v>R-04</x:v>
      </x:c>
      <x:c r="B5" s="10" t="str">
        <x:v>Đầu vào bàn phím</x:v>
      </x:c>
      <x:c r="C5" s="10" t="str">
        <x:v>main.c; utils.c</x:v>
      </x:c>
      <x:c r="D5" s="10" t="str">
        <x:v>Chuỗi dài, NULL khi gọi API, ký tự phân cách</x:v>
      </x:c>
      <x:c r="E5" s="10" t="str">
        <x:v>CWE-120/476 (chỉ sau xác minh)</x:v>
      </x:c>
      <x:c r="F5" s="10" t="str">
        <x:v>Trung bình</x:v>
      </x:c>
      <x:c r="G5" s="10" t="str">
        <x:v>Chưa chấm</x:v>
      </x:c>
      <x:c r="H5" s="10" t="str">
        <x:v>Boundary / sanitizer</x:v>
      </x:c>
      <x:c r="I5" s="10" t="str">
        <x:v>Chưa kiểm chứng</x:v>
      </x:c>
    </x:row>
    <x:row r="6" ht="58" customHeight="1">
      <x:c r="A6" s="12" t="str">
        <x:v>R-05</x:v>
      </x:c>
      <x:c r="B6" s="12" t="str">
        <x:v>Số lượng tồn kho</x:v>
      </x:c>
      <x:c r="C6" s="12" t="str">
        <x:v>inventory.c; validation.c</x:v>
      </x:c>
      <x:c r="D6" s="12" t="str">
        <x:v>INT_MAX và số âm</x:v>
      </x:c>
      <x:c r="E6" s="12" t="str">
        <x:v>CWE-190</x:v>
      </x:c>
      <x:c r="F6" s="12" t="str">
        <x:v>Trung bình</x:v>
      </x:c>
      <x:c r="G6" s="12" t="str">
        <x:v>Chưa chấm</x:v>
      </x:c>
      <x:c r="H6" s="12" t="str">
        <x:v>UBSan + SMT + boundary</x:v>
      </x:c>
      <x:c r="I6" s="12" t="str">
        <x:v>Chưa kiểm chứng</x:v>
      </x:c>
    </x:row>
    <x:row r="7" ht="58" customHeight="1">
      <x:c r="A7" s="10" t="str">
        <x:v>R-06</x:v>
      </x:c>
      <x:c r="B7" s="10" t="str">
        <x:v>Thống kê và báo cáo</x:v>
      </x:c>
      <x:c r="C7" s="10" t="str">
        <x:v>report.c</x:v>
      </x:c>
      <x:c r="D7" s="10" t="str">
        <x:v>Giới hạn summaries=32, chỉ số, dữ liệu bất thường</x:v>
      </x:c>
      <x:c r="E7" s="10" t="str">
        <x:v>CWE-787/190 (đề xuất)</x:v>
      </x:c>
      <x:c r="F7" s="10" t="str">
        <x:v>Trung bình</x:v>
      </x:c>
      <x:c r="G7" s="10" t="str">
        <x:v>Chưa chấm</x:v>
      </x:c>
      <x:c r="H7" s="10" t="str">
        <x:v>Bounds test + ASan</x:v>
      </x:c>
      <x:c r="I7" s="10" t="str">
        <x:v>Chưa kiểm chứng</x:v>
      </x:c>
    </x:row>
  </x:sheetData>
  <x:pageMargins left="0.7" right="0.7" top="0.75" bottom="0.75" header="0.3" footer="0.3"/>
  <x:tableParts count="1">
    <x:tablePart xmlns:r="http://schemas.openxmlformats.org/officeDocument/2006/relationships" r:id="R8b28a2261aa047d3"/>
  </x:tableParts>
</x:worksheet>
</file>

<file path=xl/worksheets/sheet5.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4" hidden="0" customWidth="1"/>
    <x:col min="2" max="2" width="78" hidden="0" customWidth="1"/>
    <x:col min="3" max="3" width="23" hidden="0" customWidth="1"/>
    <x:col min="4" max="4" width="49" hidden="0" customWidth="1"/>
    <x:col min="5" max="5" width="13" hidden="0" customWidth="1"/>
    <x:col min="6" max="6" width="22" hidden="0" customWidth="1"/>
    <x:col min="7" max="7" width="35" hidden="0" customWidth="1"/>
    <x:col min="8" max="8" width="40" hidden="0" customWidth="1"/>
  </x:cols>
  <x:sheetData>
    <x:row r="1" ht="36" customHeight="1">
      <x:c r="A1" s="5" t="str">
        <x:v>AC ID</x:v>
      </x:c>
      <x:c r="B1" s="5" t="str">
        <x:v>Tiêu chí hoàn thành v0</x:v>
      </x:c>
      <x:c r="C1" s="5" t="str">
        <x:v>Người xác nhận</x:v>
      </x:c>
      <x:c r="D1" s="5" t="str">
        <x:v>Bằng chứng bắt buộc</x:v>
      </x:c>
      <x:c r="E1" s="5" t="str">
        <x:v>Mức</x:v>
      </x:c>
      <x:c r="F1" s="5" t="str">
        <x:v>Trạng thái</x:v>
      </x:c>
      <x:c r="G1" s="5" t="str">
        <x:v>Link thực tế</x:v>
      </x:c>
      <x:c r="H1" s="5" t="str">
        <x:v>Ghi chú</x:v>
      </x:c>
    </x:row>
    <x:row r="2" ht="60" customHeight="1">
      <x:c r="A2" s="12" t="str">
        <x:v>AC-01</x:v>
      </x:c>
      <x:c r="B2" s="12" t="str">
        <x:v>Mã nguồn cố định SHA và nhánh chuẩn</x:v>
      </x:c>
      <x:c r="C2" s="12" t="str">
        <x:v>Trang</x:v>
      </x:c>
      <x:c r="D2" s="12" t="str">
        <x:v>Commit SHA; manifest</x:v>
      </x:c>
      <x:c r="E2" s="12" t="str">
        <x:v>P0</x:v>
      </x:c>
      <x:c r="F2" s="12" t="str">
        <x:v>Chưa xác nhận</x:v>
      </x:c>
      <x:c r="G2" s="12" t="str"/>
      <x:c r="H2" s="12" t="str"/>
    </x:row>
    <x:row r="3" ht="60" customHeight="1">
      <x:c r="A3" s="10" t="str">
        <x:v>AC-02</x:v>
      </x:c>
      <x:c r="B3" s="10" t="str">
        <x:v>Bản main-base build sạch và chạy CLI</x:v>
      </x:c>
      <x:c r="C3" s="10" t="str">
        <x:v>Thọ / Trang</x:v>
      </x:c>
      <x:c r="D3" s="10" t="str">
        <x:v>build.log; cli.log</x:v>
      </x:c>
      <x:c r="E3" s="10" t="str">
        <x:v>P0</x:v>
      </x:c>
      <x:c r="F3" s="10" t="str">
        <x:v>Chưa xác nhận</x:v>
      </x:c>
      <x:c r="G3" s="10" t="str"/>
      <x:c r="H3" s="10" t="str"/>
    </x:row>
    <x:row r="4" ht="60" customHeight="1">
      <x:c r="A4" s="12" t="str">
        <x:v>AC-03</x:v>
      </x:c>
      <x:c r="B4" s="12" t="str">
        <x:v>Mô hình items/products thống nhất theo lựa chọn kiến trúc</x:v>
      </x:c>
      <x:c r="C4" s="12" t="str">
        <x:v>Trang</x:v>
      </x:c>
      <x:c r="D4" s="12" t="str">
        <x:v>Architecture decision + tests</x:v>
      </x:c>
      <x:c r="E4" s="12" t="str">
        <x:v>P0</x:v>
      </x:c>
      <x:c r="F4" s="12" t="str">
        <x:v>Chưa xác nhận</x:v>
      </x:c>
      <x:c r="G4" s="12" t="str"/>
      <x:c r="H4" s="12" t="str"/>
    </x:row>
    <x:row r="5" ht="60" customHeight="1">
      <x:c r="A5" s="10" t="str">
        <x:v>AC-04</x:v>
      </x:c>
      <x:c r="B5" s="10" t="str">
        <x:v>Đọc/ghi sản phẩm 6 trường và định dạng tương thích hợp lệ</x:v>
      </x:c>
      <x:c r="C5" s="10" t="str">
        <x:v>Trang</x:v>
      </x:c>
      <x:c r="D5" s="10" t="str">
        <x:v>roundtrip tests</x:v>
      </x:c>
      <x:c r="E5" s="10" t="str">
        <x:v>P0</x:v>
      </x:c>
      <x:c r="F5" s="10" t="str">
        <x:v>Chưa xác nhận</x:v>
      </x:c>
      <x:c r="G5" s="10" t="str"/>
      <x:c r="H5" s="10" t="str"/>
    </x:row>
    <x:row r="6" ht="60" customHeight="1">
      <x:c r="A6" s="12" t="str">
        <x:v>AC-05</x:v>
      </x:c>
      <x:c r="B6" s="12" t="str">
        <x:v>Test inventory, utils, validation, report có runner</x:v>
      </x:c>
      <x:c r="C6" s="12" t="str">
        <x:v>Thọ</x:v>
      </x:c>
      <x:c r="D6" s="12" t="str">
        <x:v>test-all.log; exit codes</x:v>
      </x:c>
      <x:c r="E6" s="12" t="str">
        <x:v>P0</x:v>
      </x:c>
      <x:c r="F6" s="12" t="str">
        <x:v>Chưa xác nhận</x:v>
      </x:c>
      <x:c r="G6" s="12" t="str"/>
      <x:c r="H6" s="12" t="str"/>
    </x:row>
    <x:row r="7" ht="60" customHeight="1">
      <x:c r="A7" s="10" t="str">
        <x:v>AC-06</x:v>
      </x:c>
      <x:c r="B7" s="10" t="str">
        <x:v>Bộ test valid/boundary/abnormal và đặc tả REQ→test</x:v>
      </x:c>
      <x:c r="C7" s="10" t="str">
        <x:v>Đô</x:v>
      </x:c>
      <x:c r="D7" s="10" t="str">
        <x:v>Trace 18 REQ; TestCase evidence</x:v>
      </x:c>
      <x:c r="E7" s="10" t="str">
        <x:v>P0</x:v>
      </x:c>
      <x:c r="F7" s="10" t="str">
        <x:v>Chưa xác nhận</x:v>
      </x:c>
      <x:c r="G7" s="10" t="str"/>
      <x:c r="H7" s="10" t="str"/>
    </x:row>
    <x:row r="8" ht="60" customHeight="1">
      <x:c r="A8" s="12" t="str">
        <x:v>AC-07</x:v>
      </x:c>
      <x:c r="B8" s="12" t="str">
        <x:v>Attack surface, data flow và ownership/lifecycle</x:v>
      </x:c>
      <x:c r="C8" s="12" t="str">
        <x:v>Đô</x:v>
      </x:c>
      <x:c r="D8" s="12" t="str">
        <x:v>Architecture files</x:v>
      </x:c>
      <x:c r="E8" s="12" t="str">
        <x:v>P0</x:v>
      </x:c>
      <x:c r="F8" s="12" t="str">
        <x:v>Chưa xác nhận</x:v>
      </x:c>
      <x:c r="G8" s="12" t="str"/>
      <x:c r="H8" s="12" t="str"/>
    </x:row>
    <x:row r="9" ht="60" customHeight="1">
      <x:c r="A9" s="10" t="str">
        <x:v>AC-08</x:v>
      </x:c>
      <x:c r="B9" s="10" t="str">
        <x:v>Chương 2: ASan/UBSan baseline chạy, log còn nguyên</x:v>
      </x:c>
      <x:c r="C9" s="10" t="str">
        <x:v>Thọ</x:v>
      </x:c>
      <x:c r="D9" s="10" t="str">
        <x:v>results/asan; results/ubsan</x:v>
      </x:c>
      <x:c r="E9" s="10" t="str">
        <x:v>P0</x:v>
      </x:c>
      <x:c r="F9" s="10" t="str">
        <x:v>Chưa xác nhận</x:v>
      </x:c>
      <x:c r="G9" s="10" t="str"/>
      <x:c r="H9" s="10" t="str"/>
    </x:row>
    <x:row r="10" ht="60" customHeight="1">
      <x:c r="A10" s="12" t="str">
        <x:v>AC-09</x:v>
      </x:c>
      <x:c r="B10" s="12" t="str">
        <x:v>Static review/Cppcheck: warnings phân loại</x:v>
      </x:c>
      <x:c r="C10" s="12" t="str">
        <x:v>Thọ / Đô</x:v>
      </x:c>
      <x:c r="D10" s="12" t="str">
        <x:v>results/cppcheck; triage</x:v>
      </x:c>
      <x:c r="E10" s="12" t="str">
        <x:v>P1</x:v>
      </x:c>
      <x:c r="F10" s="12" t="str">
        <x:v>Chưa xác nhận</x:v>
      </x:c>
      <x:c r="G10" s="12" t="str"/>
      <x:c r="H10" s="12" t="str"/>
    </x:row>
    <x:row r="11" ht="60" customHeight="1">
      <x:c r="A11" s="10" t="str">
        <x:v>AC-10</x:v>
      </x:c>
      <x:c r="B11" s="10" t="str">
        <x:v>Thuộc tính CTL/SMT chưa chạy không bị báo VERIFIED</x:v>
      </x:c>
      <x:c r="C11" s="10" t="str">
        <x:v>Đô</x:v>
      </x:c>
      <x:c r="D11" s="10" t="str">
        <x:v>model assumptions; solver logs nếu có</x:v>
      </x:c>
      <x:c r="E11" s="10" t="str">
        <x:v>P0</x:v>
      </x:c>
      <x:c r="F11" s="10" t="str">
        <x:v>Chưa xác nhận</x:v>
      </x:c>
      <x:c r="G11" s="10" t="str"/>
      <x:c r="H11" s="10" t="str"/>
    </x:row>
    <x:row r="12" ht="60" customHeight="1">
      <x:c r="A12" s="12" t="str">
        <x:v>AC-11</x:v>
      </x:c>
      <x:c r="B12" s="12" t="str">
        <x:v>Seeded vulnerabilities tách riêng original baseline</x:v>
      </x:c>
      <x:c r="C12" s="12" t="str">
        <x:v>Trang / Đô</x:v>
      </x:c>
      <x:c r="D12" s="12" t="str">
        <x:v>branch mapping / seeded README</x:v>
      </x:c>
      <x:c r="E12" s="12" t="str">
        <x:v>P0</x:v>
      </x:c>
      <x:c r="F12" s="12" t="str">
        <x:v>Chưa xác nhận</x:v>
      </x:c>
      <x:c r="G12" s="12" t="str"/>
      <x:c r="H12" s="12" t="str"/>
    </x:row>
    <x:row r="13" ht="60" customHeight="1">
      <x:c r="A13" s="10" t="str">
        <x:v>AC-12</x:v>
      </x:c>
      <x:c r="B13" s="10" t="str">
        <x:v>Reproduce clean checkout, sign-off 3 thành viên</x:v>
      </x:c>
      <x:c r="C13" s="10" t="str">
        <x:v>Cả nhóm</x:v>
      </x:c>
      <x:c r="D13" s="10" t="str">
        <x:v>reproduction.log; tag nếu đạt</x:v>
      </x:c>
      <x:c r="E13" s="10" t="str">
        <x:v>P0</x:v>
      </x:c>
      <x:c r="F13" s="10" t="str">
        <x:v>Chưa xác nhận</x:v>
      </x:c>
      <x:c r="G13" s="10" t="str"/>
      <x:c r="H13" s="10" t="str"/>
    </x:row>
  </x:sheetData>
  <x:conditionalFormatting sqref="F2:F13">
    <x:cfRule type="expression" dxfId="2" priority="1">
      <x:formula>F2="Đạt"</x:formula>
    </x:cfRule>
    <x:cfRule type="expression" dxfId="3" priority="2">
      <x:formula>F2="Không đạt"</x:formula>
    </x:cfRule>
  </x:conditionalFormatting>
  <x:dataValidations count="1">
    <x:dataValidation type="list" sqref="F2:F13">
      <x:formula1>"Chưa xác nhận,Đạt,Không đạt,Bị chặn,Không áp dụng"</x:formula1>
    </x:dataValidation>
  </x:dataValidations>
  <x:pageMargins left="0.7" right="0.7" top="0.75" bottom="0.75" header="0.3" footer="0.3"/>
  <x:tableParts count="1">
    <x:tablePart xmlns:r="http://schemas.openxmlformats.org/officeDocument/2006/relationships" r:id="R8619e34ac7244f9c"/>
  </x:tableParts>
</x:worksheet>
</file>

<file path=xl/worksheets/sheet6.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4" hidden="0" customWidth="1"/>
    <x:col min="2" max="2" width="19" hidden="0" customWidth="1"/>
    <x:col min="3" max="3" width="20" hidden="0" customWidth="1"/>
    <x:col min="4" max="4" width="29" hidden="0" customWidth="1"/>
    <x:col min="5" max="5" width="52" hidden="0" customWidth="1"/>
    <x:col min="6" max="6" width="34" hidden="0" customWidth="1"/>
    <x:col min="7" max="7" width="30" hidden="0" customWidth="1"/>
    <x:col min="8" max="8" width="33" hidden="0" customWidth="1"/>
    <x:col min="9" max="9" width="14" hidden="0" customWidth="1"/>
    <x:col min="10" max="10" width="43" hidden="0" customWidth="1"/>
    <x:col min="11" max="11" width="23" hidden="0" customWidth="1"/>
    <x:col min="12" max="12" width="28" hidden="0" customWidth="1"/>
    <x:col min="13" max="13" width="22" hidden="0" customWidth="1"/>
  </x:cols>
  <x:sheetData>
    <x:row r="1" ht="36" customHeight="1">
      <x:c r="A1" s="5" t="str">
        <x:v>RUN ID</x:v>
      </x:c>
      <x:c r="B1" s="5" t="str">
        <x:v>Giai đoạn</x:v>
      </x:c>
      <x:c r="C1" s="5" t="str">
        <x:v>Commit SHA</x:v>
      </x:c>
      <x:c r="D1" s="5" t="str">
        <x:v>Công cụ và phiên bản</x:v>
      </x:c>
      <x:c r="E1" s="5" t="str">
        <x:v>Lệnh chạy</x:v>
      </x:c>
      <x:c r="F1" s="5" t="str">
        <x:v>Input / TC</x:v>
      </x:c>
      <x:c r="G1" s="5" t="str">
        <x:v>Expected</x:v>
      </x:c>
      <x:c r="H1" s="5" t="str">
        <x:v>Actual</x:v>
      </x:c>
      <x:c r="I1" s="5" t="str">
        <x:v>Exit code</x:v>
      </x:c>
      <x:c r="J1" s="5" t="str">
        <x:v>Log path</x:v>
      </x:c>
      <x:c r="K1" s="5" t="str">
        <x:v>Kết luận</x:v>
      </x:c>
      <x:c r="L1" s="5" t="str">
        <x:v>Nguồn code</x:v>
      </x:c>
      <x:c r="M1" s="5" t="str">
        <x:v>Người chạy</x:v>
      </x:c>
    </x:row>
    <x:row r="2" ht="68" customHeight="1">
      <x:c r="A2" s="12" t="str">
        <x:v>RUN-001</x:v>
      </x:c>
      <x:c r="B2" s="12" t="str">
        <x:v>baseline v0</x:v>
      </x:c>
      <x:c r="C2" s="12" t="str"/>
      <x:c r="D2" s="12" t="str">
        <x:v>GCC/Make</x:v>
      </x:c>
      <x:c r="E2" s="12" t="str"/>
      <x:c r="F2" s="12" t="str"/>
      <x:c r="G2" s="12" t="str"/>
      <x:c r="H2" s="12" t="str"/>
      <x:c r="I2" s="12" t="str"/>
      <x:c r="J2" s="12" t="str">
        <x:v>results/baseline/build.log</x:v>
      </x:c>
      <x:c r="K2" s="12" t="str">
        <x:v>Chưa chạy</x:v>
      </x:c>
      <x:c r="L2" s="12" t="str">
        <x:v>original baseline</x:v>
      </x:c>
      <x:c r="M2" s="12" t="str"/>
    </x:row>
    <x:row r="3" ht="68" customHeight="1">
      <x:c r="A3" s="10" t="str">
        <x:v>RUN-002</x:v>
      </x:c>
      <x:c r="B3" s="10" t="str">
        <x:v>baseline v0</x:v>
      </x:c>
      <x:c r="C3" s="10" t="str"/>
      <x:c r="D3" s="10" t="str">
        <x:v>Unit tests</x:v>
      </x:c>
      <x:c r="E3" s="10" t="str"/>
      <x:c r="F3" s="10" t="str"/>
      <x:c r="G3" s="10" t="str"/>
      <x:c r="H3" s="10" t="str"/>
      <x:c r="I3" s="10" t="str"/>
      <x:c r="J3" s="10" t="str">
        <x:v>results/baseline/test-all.log</x:v>
      </x:c>
      <x:c r="K3" s="10" t="str">
        <x:v>Chưa chạy</x:v>
      </x:c>
      <x:c r="L3" s="10" t="str">
        <x:v>original baseline</x:v>
      </x:c>
      <x:c r="M3" s="10" t="str"/>
    </x:row>
    <x:row r="4" ht="68" customHeight="1">
      <x:c r="A4" s="12" t="str">
        <x:v>RUN-003</x:v>
      </x:c>
      <x:c r="B4" s="12" t="str">
        <x:v>audit v0</x:v>
      </x:c>
      <x:c r="C4" s="12" t="str"/>
      <x:c r="D4" s="12" t="str">
        <x:v>Cppcheck</x:v>
      </x:c>
      <x:c r="E4" s="12" t="str"/>
      <x:c r="F4" s="12" t="str"/>
      <x:c r="G4" s="12" t="str"/>
      <x:c r="H4" s="12" t="str"/>
      <x:c r="I4" s="12" t="str"/>
      <x:c r="J4" s="12" t="str">
        <x:v>results/cppcheck/v0.log</x:v>
      </x:c>
      <x:c r="K4" s="12" t="str">
        <x:v>Chưa chạy</x:v>
      </x:c>
      <x:c r="L4" s="12" t="str">
        <x:v>original baseline</x:v>
      </x:c>
      <x:c r="M4" s="12" t="str"/>
    </x:row>
    <x:row r="5" ht="68" customHeight="1">
      <x:c r="A5" s="10" t="str">
        <x:v>RUN-004</x:v>
      </x:c>
      <x:c r="B5" s="10" t="str">
        <x:v>audit v0</x:v>
      </x:c>
      <x:c r="C5" s="10" t="str"/>
      <x:c r="D5" s="10" t="str">
        <x:v>ASan/UBSan</x:v>
      </x:c>
      <x:c r="E5" s="10" t="str"/>
      <x:c r="F5" s="10" t="str"/>
      <x:c r="G5" s="10" t="str"/>
      <x:c r="H5" s="10" t="str"/>
      <x:c r="I5" s="10" t="str"/>
      <x:c r="J5" s="10" t="str">
        <x:v>results/asan/v0.log</x:v>
      </x:c>
      <x:c r="K5" s="10" t="str">
        <x:v>Chưa chạy</x:v>
      </x:c>
      <x:c r="L5" s="10" t="str">
        <x:v>original baseline</x:v>
      </x:c>
      <x:c r="M5" s="10" t="str"/>
    </x:row>
    <x:row r="6" ht="68" customHeight="1">
      <x:c r="A6" s="12" t="str">
        <x:v>RUN-005</x:v>
      </x:c>
      <x:c r="B6" s="12" t="str">
        <x:v>audit v0 seeded</x:v>
      </x:c>
      <x:c r="C6" s="12" t="str"/>
      <x:c r="D6" s="12" t="str">
        <x:v>ASan</x:v>
      </x:c>
      <x:c r="E6" s="12" t="str"/>
      <x:c r="F6" s="12" t="str"/>
      <x:c r="G6" s="12" t="str"/>
      <x:c r="H6" s="12" t="str"/>
      <x:c r="I6" s="12" t="str"/>
      <x:c r="J6" s="12" t="str">
        <x:v>results/asan/seeded-v0.log</x:v>
      </x:c>
      <x:c r="K6" s="12" t="str">
        <x:v>Chưa chạy</x:v>
      </x:c>
      <x:c r="L6" s="12" t="str">
        <x:v>seeded-v0 (riêng biệt)</x:v>
      </x:c>
      <x:c r="M6" s="12" t="str"/>
    </x:row>
  </x:sheetData>
  <x:dataValidations count="1">
    <x:dataValidation type="list" sqref="K2:K6">
      <x:formula1>"Chưa chạy,Có log - chưa triage,VERIFIED (model),VIOLATED,NOT DETECTED,INCONCLUSIVE,ERROR"</x:formula1>
    </x:dataValidation>
  </x:dataValidations>
  <x:pageMargins left="0.7" right="0.7" top="0.75" bottom="0.75" header="0.3" footer="0.3"/>
  <x:tableParts count="1">
    <x:tablePart xmlns:r="http://schemas.openxmlformats.org/officeDocument/2006/relationships" r:id="R33b5484576774fab"/>
  </x:tableParts>
</x:worksheet>
</file>

<file path=xl/worksheets/sheet7.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8" hidden="0" customWidth="1"/>
    <x:col min="2" max="2" width="31" hidden="0" customWidth="1"/>
    <x:col min="3" max="3" width="95" hidden="0" customWidth="1"/>
    <x:col min="4" max="4" width="75" hidden="0" customWidth="1"/>
  </x:cols>
  <x:sheetData>
    <x:row r="1" ht="36" customHeight="1">
      <x:c r="A1" s="5" t="str">
        <x:v>Nguồn / Sheet</x:v>
      </x:c>
      <x:c r="B1" s="5" t="str">
        <x:v>Đã có</x:v>
      </x:c>
      <x:c r="C1" s="5" t="str">
        <x:v>Điều chỉnh chuẩn kiểm chứng</x:v>
      </x:c>
      <x:c r="D1" s="5" t="str">
        <x:v>Quyết định</x:v>
      </x:c>
    </x:row>
    <x:row r="2" ht="90" customHeight="1">
      <x:c r="A2" s="12" t="str">
        <x:v>MoHinhTrangThai</x:v>
      </x:c>
      <x:c r="B2" s="12" t="str">
        <x:v>21 trạng thái/trường?</x:v>
      </x:c>
      <x:c r="C2" s="12" t="str">
        <x:v>Mô hình phải có R/I và trạng thái lỗi reachable; không loại bỏ lỗi bằng tiên đề</x:v>
      </x:c>
      <x:c r="D2" s="12" t="str">
        <x:v>Giữ trong workbook nguồn; thêm solver outputs ở file này</x:v>
      </x:c>
    </x:row>
    <x:row r="3" ht="90" customHeight="1">
      <x:c r="A3" s="10" t="str">
        <x:v>ThuocTinhAnToan</x:v>
      </x:c>
      <x:c r="B3" s="10" t="str">
        <x:v>18 biểu thức CTL</x:v>
      </x:c>
      <x:c r="C3" s="10" t="str">
        <x:v>Công thức chưa phải kết quả: kiểm tra tool, state space, TRUE/FALSE, counterexample</x:v>
      </x:c>
      <x:c r="D3" s="10" t="str">
        <x:v>Không ghi 'đã chứng minh' nếu không chạy checker</x:v>
      </x:c>
    </x:row>
    <x:row r="4" ht="90" customHeight="1">
      <x:c r="A4" s="12" t="str">
        <x:v>LoaiTruLanNhau</x:v>
      </x:c>
      <x:c r="B4" s="12" t="str">
        <x:v>8 ràng buộc</x:v>
      </x:c>
      <x:c r="C4" s="12" t="str">
        <x:v>Không loại trừ ptr_invalid + deref nếu mục tiêu là kiểm chứng lỗi dereference</x:v>
      </x:c>
      <x:c r="D4" s="12" t="str">
        <x:v>Xem lại ràng buộc có khiến property đúng hiển nhiên</x:v>
      </x:c>
    </x:row>
    <x:row r="5" ht="90" customHeight="1">
      <x:c r="A5" s="10" t="str">
        <x:v>KiemTraSoHoc</x:v>
      </x:c>
      <x:c r="B5" s="10" t="str">
        <x:v>8 bài toán</x:v>
      </x:c>
      <x:c r="C5" s="10" t="str">
        <x:v>SIZE_MAX/capacity dùng bitvector đúng width; SAT của biểu thức khác runtime reachability</x:v>
      </x:c>
      <x:c r="D5" s="10" t="str">
        <x:v>Lưu SMT-LIB, solver version, SAT/UNSAT/counterexample</x:v>
      </x:c>
    </x:row>
    <x:row r="6" ht="90" customHeight="1">
      <x:c r="A6" s="12" t="str">
        <x:v>YeuCauPhiChucNang</x:v>
      </x:c>
      <x:c r="B6" s="12" t="str">
        <x:v>10 NFR</x:v>
      </x:c>
      <x:c r="C6" s="12" t="str">
        <x:v>NFR-1/2/3/7/8 nói 'sau sửa' hoặc sau vá: đưa sang v1; v0 chỉ chụp baseline</x:v>
      </x:c>
      <x:c r="D6" s="12" t="str">
        <x:v>Phân loại theo giai đoạn thay vì ép v0 đạt 0 finding</x:v>
      </x:c>
    </x:row>
    <x:row r="7" ht="90" customHeight="1">
      <x:c r="A7" s="10" t="str">
        <x:v>HamSinhMa</x:v>
      </x:c>
      <x:c r="B7" s="10" t="str">
        <x:v>14 dòng config</x:v>
      </x:c>
      <x:c r="C7" s="10" t="str">
        <x:v>Tách mã sinh có chủ đích khỏi source tự nhiên; nhãn lỗi không chứng minh có lỗi thực</x:v>
      </x:c>
      <x:c r="D7" s="10" t="str">
        <x:v>Seeded-harness phải dán nhãn</x:v>
      </x:c>
    </x:row>
    <x:row r="8" ht="90" customHeight="1">
      <x:c r="A8" s="12" t="str">
        <x:v>YeuCauChucNang</x:v>
      </x:c>
      <x:c r="B8" s="12" t="str">
        <x:v>18 REQ</x:v>
      </x:c>
      <x:c r="C8" s="12" t="str">
        <x:v>Giữ nguyên ID và mô tả, không thay thế bằng diễn giải chung</x:v>
      </x:c>
      <x:c r="D8" s="12" t="str">
        <x:v>Dùng sheet Trace 18 REQ để kết nối thực thi</x:v>
      </x:c>
    </x:row>
    <x:row r="9" ht="90" customHeight="1">
      <x:c r="A9" s="10" t="str">
        <x:v>TestCase</x:v>
      </x:c>
      <x:c r="B9" s="10" t="str">
        <x:v>22 ca</x:v>
      </x:c>
      <x:c r="C9" s="10" t="str">
        <x:v>Thiếu Actual/Result/Tool/Evidence/SHA; sheet TestCase evidence xử lý việc này</x:v>
      </x:c>
      <x:c r="D9" s="10" t="str">
        <x:v>Kết quả để 'Chưa chạy' trước khi test thật</x:v>
      </x:c>
    </x:row>
    <x:row r="10" ht="90" customHeight="1">
      <x:c r="A10" s="12" t="str">
        <x:v>Source Chapter 2</x:v>
      </x:c>
      <x:c r="B10" s="12" t="str">
        <x:v>Phần 1 + 2</x:v>
      </x:c>
      <x:c r="C10" s="12" t="str">
        <x:v>2.1 risk, 2.2 ownership, 2.3 memory safety, 2.4 alignment, 2.5 static tools</x:v>
      </x:c>
      <x:c r="D10" s="12" t="str">
        <x:v>Không áp dụng packed struct nếu chương trình không dùng</x:v>
      </x:c>
    </x:row>
    <x:row r="11" ht="90" customHeight="1">
      <x:c r="A11" s="10" t="str">
        <x:v>Báo cáo BTL</x:v>
      </x:c>
      <x:c r="B11" s="10" t="str">
        <x:v>27 trang hướng dẫn</x:v>
      </x:c>
      <x:c r="C11" s="10" t="str">
        <x:v>Phải có input/output, architecture/LOC, cấu hình, log, phân tích, giới hạn, so sánh v0-v1</x:v>
      </x:c>
      <x:c r="D11" s="10" t="str">
        <x:v>Không dùng plan thay thế kết quả thực nghiệm</x:v>
      </x:c>
    </x:row>
  </x:sheetData>
  <x:pageMargins left="0.7" right="0.7" top="0.75" bottom="0.75" header="0.3" footer="0.3"/>
  <x:tableParts count="1">
    <x:tablePart xmlns:r="http://schemas.openxmlformats.org/officeDocument/2006/relationships" r:id="Rde1e238eaf9e4481"/>
  </x:tableParts>
</x:worksheet>
</file>

<file path=xl/worksheets/sheet8.xml><?xml version="1.0" encoding="utf-8"?>
<x:worksheet xmlns:x="http://schemas.openxmlformats.org/spreadsheetml/2006/main">
  <x:sheetFormatPr defaultRowHeight="15"/>
  <x:cols>
    <x:col min="1" max="1" width="28" hidden="0" customWidth="1"/>
    <x:col min="2" max="2" width="86" hidden="0" customWidth="1"/>
  </x:cols>
  <x:sheetData>
    <x:row r="1" ht="42" customHeight="1">
      <x:c r="A1" s="3" t="str">
        <x:v>HỒ SƠ V0 – KIỂM CHỨNG AN TOÀN BỘ NHỚ (CSE703093)</x:v>
      </x:c>
      <x:c r="B1" s="3" t="str"/>
      <x:c r="C1" s="3" t="str"/>
      <x:c r="D1" s="3" t="str"/>
      <x:c r="E1" s="3" t="str"/>
      <x:c r="F1" s="3" t="str"/>
    </x:row>
    <x:row r="3" ht="33" customHeight="1">
      <x:c r="A3" s="15" t="str">
        <x:v>Mã nguồn</x:v>
      </x:c>
      <x:c r="B3" t="str">
        <x:v>ATPM_Group_04_inventory-memory-audit</x:v>
      </x:c>
    </x:row>
    <x:row r="4" ht="33" customHeight="1">
      <x:c r="A4" s="15" t="str">
        <x:v>Ưu tiên chương</x:v>
      </x:c>
      <x:c r="B4" t="str">
        <x:v>Chương 2: lập trình C an toàn và bộ nhớ</x:v>
      </x:c>
    </x:row>
    <x:row r="5" ht="33" customHeight="1">
      <x:c r="A5" s="15" t="str">
        <x:v>Nhóm trưởng</x:v>
      </x:c>
      <x:c r="B5" t="str">
        <x:v>Nguyễn Kiều Trang</x:v>
      </x:c>
    </x:row>
    <x:row r="6" ht="33" customHeight="1">
      <x:c r="A6" s="15" t="str">
        <x:v>Thành viên</x:v>
      </x:c>
      <x:c r="B6" t="str">
        <x:v>Hà Văn Đô; Nguyễn Quang Thọ</x:v>
      </x:c>
    </x:row>
    <x:row r="7" ht="33" customHeight="1">
      <x:c r="A7" s="15" t="str">
        <x:v>Số REQ nguyên gốc</x:v>
      </x:c>
      <x:c r="B7" t="n">
        <x:v>18</x:v>
      </x:c>
    </x:row>
    <x:row r="8" ht="33" customHeight="1">
      <x:c r="A8" s="15" t="str">
        <x:v>Số test case nguyên gốc</x:v>
      </x:c>
      <x:c r="B8" t="n">
        <x:v>22</x:v>
      </x:c>
    </x:row>
    <x:row r="9" ht="33" customHeight="1">
      <x:c r="A9" s="15" t="str">
        <x:v>Số công việc được giao</x:v>
      </x:c>
      <x:c r="B9" t="n">
        <x:v>27</x:v>
      </x:c>
    </x:row>
    <x:row r="10" ht="33" customHeight="1">
      <x:c r="A10" s="15" t="str">
        <x:v>Trạng thái</x:v>
      </x:c>
      <x:c r="B10" t="str">
        <x:v>CHƯA NGHIỆM THU; không tự suy diễn kết quả</x:v>
      </x:c>
    </x:row>
    <x:row r="11" ht="33" customHeight="1">
      <x:c r="A11" s="15" t="str">
        <x:v>Lưu ý</x:v>
      </x:c>
      <x:c r="B11" t="str">
        <x:v>File bổ trợ, KHÔNG thay thế workbook 10 sheet của bộ nạp</x:v>
      </x:c>
    </x:row>
    <x:row r="13">
      <x:c r="A13" t="str">
        <x:v>Đạt task</x:v>
      </x:c>
      <x:c r="B13" t="n">
        <x:f>COUNTIF('Ke hoach V0'!J2:J28,"Đạt")</x:f>
        <x:v>0</x:v>
      </x:c>
    </x:row>
    <x:row r="14">
      <x:c r="A14" t="str">
        <x:v>Tỷ lệ task</x:v>
      </x:c>
      <x:c r="B14" s="18" t="n">
        <x:f>B13/27</x:f>
        <x:v>0</x:v>
      </x:c>
    </x:row>
    <x:row r="16">
      <x:c r="A16" t="str">
        <x:v>Đạt nghiệm thu</x:v>
      </x:c>
      <x:c r="B16" t="n">
        <x:f>COUNTIF('Nghiem thu v0'!F2:F13,"Đạt")</x:f>
        <x:v>0</x:v>
      </x:c>
    </x:row>
    <x:row r="17">
      <x:c r="A17" t="str">
        <x:v>Tỷ lệ nghiệm thu</x:v>
      </x:c>
      <x:c r="B17" s="18" t="n">
        <x:f>B16/12</x:f>
        <x:v>0</x:v>
      </x:c>
    </x:row>
    <x:row r="19" ht="40" customHeight="1">
      <x:c r="A19" s="10" t="str">
        <x:v>Phân loại chứng cứ</x:v>
      </x:c>
      <x:c r="B19" s="10" t="str">
        <x:v>Original v0 vs. Seeded-v0 bắt buộc phân biệt</x:v>
      </x:c>
    </x:row>
    <x:row r="20" ht="40" customHeight="1">
      <x:c r="A20" s="10" t="str">
        <x:v>Quy tắc</x:v>
      </x:c>
      <x:c r="B20" s="10" t="str">
        <x:v>Chưa chạy ≠ PASS; cảnh báo tĩnh ≠ confirmed vulnerability</x:v>
      </x:c>
    </x:row>
  </x:sheetData>
  <x:mergeCells>
    <x:mergeCell ref="A1:F1"/>
  </x:mergeCells>
  <x:pageMargins left="0.7" right="0.7" top="0.75" bottom="0.75" header="0.3" footer="0.3"/>
</x:worksheet>
</file>